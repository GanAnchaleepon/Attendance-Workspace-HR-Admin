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ข้อมูล Manpower\2026\เดือนสิงหาคม\"/>
    </mc:Choice>
  </mc:AlternateContent>
  <xr:revisionPtr revIDLastSave="0" documentId="13_ncr:1_{33A726E8-3F25-4889-B910-BB142F588205}" xr6:coauthVersionLast="47" xr6:coauthVersionMax="47" xr10:uidLastSave="{00000000-0000-0000-0000-000000000000}"/>
  <bookViews>
    <workbookView xWindow="-120" yWindow="-120" windowWidth="20730" windowHeight="11040" tabRatio="565" firstSheet="1" activeTab="1" xr2:uid="{00000000-000D-0000-FFFF-FFFF00000000}"/>
  </bookViews>
  <sheets>
    <sheet name="Sheet1" sheetId="4" state="hidden" r:id="rId1"/>
    <sheet name="Operation " sheetId="6" r:id="rId2"/>
    <sheet name="QA  TQS" sheetId="13" r:id="rId3"/>
    <sheet name="Sheet4" sheetId="16" state="hidden" r:id="rId4"/>
    <sheet name="รุ่งโรจน์ " sheetId="15" state="hidden" r:id="rId5"/>
    <sheet name="Sheet2" sheetId="9" state="hidden" r:id="rId6"/>
    <sheet name="Sheet3" sheetId="8" state="hidden" r:id="rId7"/>
    <sheet name="Truck Driver" sheetId="3" state="hidden" r:id="rId8"/>
  </sheets>
  <definedNames>
    <definedName name="_xlnm._FilterDatabase" localSheetId="1" hidden="1">'Operation '!$A$7:$T$101</definedName>
    <definedName name="_xlnm._FilterDatabase" localSheetId="2" hidden="1">'QA  TQS'!$A$5:$Q$15</definedName>
    <definedName name="_xlnm._FilterDatabase" localSheetId="7" hidden="1">'Truck Driver'!$A$1:$R$5</definedName>
    <definedName name="_xlnm.Print_Area" localSheetId="1">'Operation '!$A$7:$E$48</definedName>
    <definedName name="_xlnm.Print_Area" localSheetId="2">'QA  TQS'!$B$6:$E$12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6" i="6" l="1"/>
  <c r="P101" i="6"/>
  <c r="T101" i="6"/>
  <c r="P43" i="6"/>
  <c r="T100" i="6"/>
  <c r="P15" i="13"/>
  <c r="P100" i="6"/>
  <c r="T99" i="6"/>
  <c r="D3" i="6"/>
  <c r="D4" i="6"/>
  <c r="P99" i="6"/>
  <c r="T98" i="6"/>
  <c r="P86" i="6"/>
  <c r="T97" i="6"/>
  <c r="P85" i="6"/>
  <c r="P14" i="13"/>
  <c r="D5" i="6" l="1"/>
  <c r="P42" i="6"/>
  <c r="P84" i="6"/>
  <c r="T95" i="6"/>
  <c r="T96" i="6"/>
  <c r="P40" i="6"/>
  <c r="P41" i="6"/>
  <c r="T94" i="6"/>
  <c r="P39" i="6" l="1"/>
  <c r="P38" i="6"/>
  <c r="P57" i="6"/>
  <c r="T92" i="6"/>
  <c r="T93" i="6"/>
  <c r="P37" i="6" l="1"/>
  <c r="T91" i="6"/>
  <c r="P83" i="6" l="1"/>
  <c r="T90" i="6" l="1"/>
  <c r="P82" i="6" l="1"/>
  <c r="T89" i="6" l="1"/>
  <c r="P81" i="6" l="1"/>
  <c r="T88" i="6"/>
  <c r="C5" i="6"/>
  <c r="T87" i="6"/>
  <c r="P6" i="13"/>
  <c r="P8" i="13"/>
  <c r="P7" i="13"/>
  <c r="P9" i="13"/>
  <c r="P10" i="13" l="1"/>
  <c r="P11" i="13"/>
  <c r="P12" i="13"/>
  <c r="P13" i="13"/>
  <c r="P36" i="6" l="1"/>
  <c r="T86" i="6"/>
  <c r="P80" i="6" l="1"/>
  <c r="T85" i="6"/>
  <c r="P22" i="6" l="1"/>
  <c r="P79" i="6"/>
  <c r="T84" i="6"/>
  <c r="P78" i="6" l="1"/>
  <c r="T83" i="6"/>
  <c r="T82" i="6"/>
  <c r="P77" i="6" l="1"/>
  <c r="P76" i="6" l="1"/>
  <c r="T81" i="6"/>
  <c r="P35" i="6" l="1"/>
  <c r="T80" i="6"/>
  <c r="T79" i="6"/>
  <c r="T78" i="6"/>
  <c r="P34" i="6" l="1"/>
  <c r="T77" i="6"/>
  <c r="P75" i="6"/>
  <c r="T75" i="6"/>
  <c r="T76" i="6"/>
  <c r="P33" i="6"/>
  <c r="T74" i="6"/>
  <c r="P51" i="6" l="1"/>
  <c r="P52" i="6"/>
  <c r="T73" i="6"/>
  <c r="P74" i="6" l="1"/>
  <c r="P32" i="6"/>
  <c r="T72" i="6"/>
  <c r="T71" i="6" l="1"/>
  <c r="T70" i="6" l="1"/>
  <c r="T69" i="6"/>
  <c r="P12" i="6" l="1"/>
  <c r="T68" i="6" l="1"/>
  <c r="T67" i="6" l="1"/>
  <c r="P31" i="6"/>
  <c r="T66" i="6"/>
  <c r="T65" i="6" l="1"/>
  <c r="T64" i="6" l="1"/>
  <c r="P73" i="6"/>
  <c r="T63" i="6"/>
  <c r="T62" i="6"/>
  <c r="P71" i="6"/>
  <c r="P72" i="6"/>
  <c r="T61" i="6" l="1"/>
  <c r="P70" i="6"/>
  <c r="P30" i="6"/>
  <c r="T60" i="6"/>
  <c r="P69" i="6"/>
  <c r="P29" i="6" l="1"/>
  <c r="T59" i="6"/>
  <c r="P28" i="6"/>
  <c r="T58" i="6"/>
  <c r="T57" i="6" l="1"/>
  <c r="T55" i="6"/>
  <c r="T56" i="6"/>
  <c r="T54" i="6"/>
  <c r="P27" i="6"/>
  <c r="T53" i="6"/>
  <c r="P68" i="6" l="1"/>
  <c r="T52" i="6"/>
  <c r="T51" i="6" l="1"/>
  <c r="P26" i="6" l="1"/>
  <c r="T49" i="6"/>
  <c r="T50" i="6"/>
  <c r="T43" i="6" l="1"/>
  <c r="T42" i="6" l="1"/>
  <c r="P11" i="6" l="1"/>
  <c r="P25" i="6" l="1"/>
  <c r="P17" i="6"/>
  <c r="P24" i="6" l="1"/>
  <c r="T45" i="6" l="1"/>
  <c r="T9" i="6"/>
  <c r="T10" i="6"/>
  <c r="T11" i="6"/>
  <c r="T12" i="6"/>
  <c r="T24" i="6"/>
  <c r="T13" i="6"/>
  <c r="T46" i="6"/>
  <c r="T14" i="6"/>
  <c r="T15" i="6"/>
  <c r="T16" i="6"/>
  <c r="T17" i="6"/>
  <c r="T18" i="6"/>
  <c r="T19" i="6"/>
  <c r="T20" i="6"/>
  <c r="T47" i="6"/>
  <c r="T21" i="6"/>
  <c r="T22" i="6"/>
  <c r="T44" i="6"/>
  <c r="T23" i="6"/>
  <c r="T26" i="6"/>
  <c r="T25" i="6"/>
  <c r="T27" i="6"/>
  <c r="T28" i="6"/>
  <c r="T29" i="6"/>
  <c r="T30" i="6"/>
  <c r="T31" i="6"/>
  <c r="T32" i="6"/>
  <c r="T33" i="6"/>
  <c r="T34" i="6"/>
  <c r="T35" i="6"/>
  <c r="T36" i="6"/>
  <c r="T37" i="6"/>
  <c r="T48" i="6"/>
  <c r="T38" i="6"/>
  <c r="T39" i="6"/>
  <c r="T40" i="6"/>
  <c r="T41" i="6"/>
  <c r="T8" i="6"/>
  <c r="P96" i="6" l="1"/>
  <c r="P49" i="6" l="1"/>
  <c r="P95" i="6" l="1"/>
  <c r="P48" i="6" l="1"/>
  <c r="P23" i="6" l="1"/>
  <c r="P63" i="6" l="1"/>
  <c r="P9" i="6" l="1"/>
  <c r="P47" i="6" l="1"/>
  <c r="P67" i="6" l="1"/>
  <c r="P15" i="6" l="1"/>
  <c r="P98" i="6" l="1"/>
  <c r="P46" i="6" l="1"/>
  <c r="P45" i="6"/>
  <c r="P53" i="6" l="1"/>
  <c r="P16" i="6"/>
  <c r="P20" i="6"/>
  <c r="P66" i="6" l="1"/>
  <c r="P93" i="6" l="1"/>
  <c r="P65" i="6" l="1"/>
  <c r="P10" i="6" l="1"/>
  <c r="P13" i="6"/>
  <c r="P44" i="6"/>
  <c r="P21" i="6"/>
  <c r="P18" i="6"/>
  <c r="P59" i="6"/>
  <c r="P50" i="6"/>
  <c r="P54" i="6"/>
  <c r="P97" i="6"/>
  <c r="P55" i="6"/>
  <c r="P14" i="6"/>
  <c r="P61" i="6"/>
  <c r="P62" i="6"/>
  <c r="P88" i="6"/>
  <c r="P89" i="6"/>
  <c r="P19" i="6"/>
  <c r="P64" i="6"/>
  <c r="P91" i="6"/>
  <c r="P58" i="6"/>
  <c r="P87" i="6"/>
  <c r="P90" i="6"/>
  <c r="P56" i="6"/>
  <c r="P92" i="6"/>
  <c r="P94" i="6"/>
  <c r="P60" i="6"/>
  <c r="P8" i="6" l="1"/>
  <c r="N5" i="3" l="1"/>
  <c r="R5" i="3"/>
  <c r="R4" i="3"/>
  <c r="R3" i="3"/>
  <c r="R2" i="3"/>
  <c r="E3" i="6"/>
  <c r="E4" i="6"/>
  <c r="E5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Somrot Choksawut </author>
  </authors>
  <commentList>
    <comment ref="D5" authorId="0" shapeId="0" xr:uid="{74086B1D-A7E7-43F3-BB7B-CED1C37D15FA}">
      <text>
        <r>
          <rPr>
            <b/>
            <sz val="9"/>
            <color indexed="81"/>
            <rFont val="Tahoma"/>
            <family val="2"/>
          </rPr>
          <t xml:space="preserve">คนจะมี 107คน ไม่นับรวม Driver,97คน  , 93 คนโฮ op=4 คน, รวมกับรับทดแทนคนท้อง ชัวคราว 10 เดือน  1 คน รวม  94 </t>
        </r>
      </text>
    </comment>
  </commentList>
</comments>
</file>

<file path=xl/sharedStrings.xml><?xml version="1.0" encoding="utf-8"?>
<sst xmlns="http://schemas.openxmlformats.org/spreadsheetml/2006/main" count="1957" uniqueCount="852">
  <si>
    <t>Operative</t>
  </si>
  <si>
    <t>M</t>
  </si>
  <si>
    <t>Mr.</t>
  </si>
  <si>
    <t>นาย</t>
  </si>
  <si>
    <t>Sarawut</t>
  </si>
  <si>
    <t>Truck Driver</t>
  </si>
  <si>
    <t>Plengkhonsan</t>
  </si>
  <si>
    <t>Gairach</t>
  </si>
  <si>
    <t>เปล่งคอนสาร</t>
  </si>
  <si>
    <t>ไกรราช</t>
  </si>
  <si>
    <t>TTV02025</t>
  </si>
  <si>
    <t>Namkong</t>
  </si>
  <si>
    <t>นามกอง</t>
  </si>
  <si>
    <t>ศราวุธ</t>
  </si>
  <si>
    <t>TTV02009</t>
  </si>
  <si>
    <t>Logistics Analyst</t>
  </si>
  <si>
    <t>Chomklam</t>
  </si>
  <si>
    <t>Naret</t>
  </si>
  <si>
    <t>ชมกร่ำ</t>
  </si>
  <si>
    <t>นเรศ</t>
  </si>
  <si>
    <t>TTV01938</t>
  </si>
  <si>
    <t>Remark</t>
  </si>
  <si>
    <t>Project</t>
  </si>
  <si>
    <t>เบอร์ติดต่อ</t>
  </si>
  <si>
    <t>ผ่านทดลองงาน</t>
  </si>
  <si>
    <t>เข้างานวันที่</t>
  </si>
  <si>
    <t>Position</t>
  </si>
  <si>
    <t>ชื่อ-สกุล (อังกฤษ)</t>
  </si>
  <si>
    <t>Sex</t>
  </si>
  <si>
    <t>Title</t>
  </si>
  <si>
    <t>ชื่อ-สกุล</t>
  </si>
  <si>
    <t>คำนำหน้า</t>
  </si>
  <si>
    <t>รหัสพนักงาน</t>
  </si>
  <si>
    <t>ลำดับ</t>
  </si>
  <si>
    <t>087-128-1402</t>
  </si>
  <si>
    <t>082-205-2692</t>
  </si>
  <si>
    <t>099-210-9917</t>
  </si>
  <si>
    <t>Employee Type</t>
  </si>
  <si>
    <t>Permanent</t>
  </si>
  <si>
    <t>Temporary</t>
  </si>
  <si>
    <t>ชื่อ</t>
  </si>
  <si>
    <t>สกุล</t>
  </si>
  <si>
    <t>Surename</t>
  </si>
  <si>
    <t>Percentage</t>
  </si>
  <si>
    <t>Total Manpower</t>
  </si>
  <si>
    <t>Shift</t>
  </si>
  <si>
    <t>Shift A</t>
  </si>
  <si>
    <t>Shift B</t>
  </si>
  <si>
    <t>Department</t>
  </si>
  <si>
    <t>No.</t>
  </si>
  <si>
    <t>Operation Supervisor</t>
  </si>
  <si>
    <t>Forklift Driver</t>
  </si>
  <si>
    <t>Plan</t>
  </si>
  <si>
    <t>Actual</t>
  </si>
  <si>
    <t>Q.A.Operative</t>
  </si>
  <si>
    <t>Admin</t>
  </si>
  <si>
    <t>Name</t>
  </si>
  <si>
    <t>AAT-MF</t>
  </si>
  <si>
    <t>Operation</t>
  </si>
  <si>
    <t>Data&amp;lnventory Controller</t>
  </si>
  <si>
    <t>TTV01957</t>
  </si>
  <si>
    <t>วรวุฒิ</t>
  </si>
  <si>
    <t>นิลมังกร</t>
  </si>
  <si>
    <t>081-5433515</t>
  </si>
  <si>
    <t>IT Technician</t>
  </si>
  <si>
    <t>ลาออก</t>
  </si>
  <si>
    <t>เอกนรินทร์</t>
  </si>
  <si>
    <t>หัวนา</t>
  </si>
  <si>
    <t>Aeknarin</t>
  </si>
  <si>
    <t>Huana</t>
  </si>
  <si>
    <t>FTM-SE</t>
  </si>
  <si>
    <t>TTV02914</t>
  </si>
  <si>
    <t>นางสาว</t>
  </si>
  <si>
    <t>พรพรรณ</t>
  </si>
  <si>
    <t>เพ็ชรเอี่ยม</t>
  </si>
  <si>
    <t>Miss</t>
  </si>
  <si>
    <t>F</t>
  </si>
  <si>
    <t>Pornpun</t>
  </si>
  <si>
    <t>Petaiem</t>
  </si>
  <si>
    <t>เอกชัย</t>
  </si>
  <si>
    <t>บัณฑิตา</t>
  </si>
  <si>
    <t>โพธิ์พาด</t>
  </si>
  <si>
    <t>พัชรพล</t>
  </si>
  <si>
    <t>เจริญโภค</t>
  </si>
  <si>
    <t>Patcharaphol</t>
  </si>
  <si>
    <t>Jaroenphok</t>
  </si>
  <si>
    <t>097-1314600</t>
  </si>
  <si>
    <t>ShiftB</t>
  </si>
  <si>
    <t>ShiftA</t>
  </si>
  <si>
    <t>สาธร</t>
  </si>
  <si>
    <t>TTV02064</t>
  </si>
  <si>
    <t xml:space="preserve">สมภพ </t>
  </si>
  <si>
    <t>เสียงดี</t>
  </si>
  <si>
    <t>Sompop</t>
  </si>
  <si>
    <t>Siangdee</t>
  </si>
  <si>
    <t>TTV00917</t>
  </si>
  <si>
    <t>อำนวย</t>
  </si>
  <si>
    <t>พันธุ์ยาง</t>
  </si>
  <si>
    <t>Umnouy</t>
  </si>
  <si>
    <t>Panyang</t>
  </si>
  <si>
    <t>TTV00599</t>
  </si>
  <si>
    <t>รุ่งทิวา</t>
  </si>
  <si>
    <t>บุญทรัพย์</t>
  </si>
  <si>
    <t>Rungtiwa</t>
  </si>
  <si>
    <t>Bunsap</t>
  </si>
  <si>
    <t>Day</t>
  </si>
  <si>
    <t>อำนาจ</t>
  </si>
  <si>
    <t>ภุชงค์</t>
  </si>
  <si>
    <t>เป็กษา</t>
  </si>
  <si>
    <t>Phuchong</t>
  </si>
  <si>
    <t>Peksa</t>
  </si>
  <si>
    <t>Amnat</t>
  </si>
  <si>
    <t>Phanrang</t>
  </si>
  <si>
    <t>080-1652580</t>
  </si>
  <si>
    <t>TTV00439</t>
  </si>
  <si>
    <t>วรรณชัย</t>
  </si>
  <si>
    <t>เกิดช่อ</t>
  </si>
  <si>
    <t>Wannachai</t>
  </si>
  <si>
    <t>Kerdcho</t>
  </si>
  <si>
    <t>096-2653561</t>
  </si>
  <si>
    <t>Tranfer from  AAT-Wiring  5 ม.ค 63</t>
  </si>
  <si>
    <t>TTV01927</t>
  </si>
  <si>
    <t>สมรจน์</t>
  </si>
  <si>
    <t>โชคสวัสดิ์</t>
  </si>
  <si>
    <t>Somrot</t>
  </si>
  <si>
    <t>Choksawut</t>
  </si>
  <si>
    <t>092-6048652</t>
  </si>
  <si>
    <t>097-2512536</t>
  </si>
  <si>
    <t>บูรณ์พิภพ</t>
  </si>
  <si>
    <t>นพเคราะห์</t>
  </si>
  <si>
    <t>Boonphiphob</t>
  </si>
  <si>
    <t>Nobphakho</t>
  </si>
  <si>
    <t>Phanuphong</t>
  </si>
  <si>
    <t>TTV03011</t>
  </si>
  <si>
    <t>พรทิพย์</t>
  </si>
  <si>
    <t>Pornthip</t>
  </si>
  <si>
    <t>Choksahwat</t>
  </si>
  <si>
    <t>080-1797702</t>
  </si>
  <si>
    <t>สุธิดา</t>
  </si>
  <si>
    <t>Suthida</t>
  </si>
  <si>
    <t>แพรวนภา</t>
  </si>
  <si>
    <t>ด้อมกลาง</t>
  </si>
  <si>
    <t>Praswnapha</t>
  </si>
  <si>
    <t>Domklang</t>
  </si>
  <si>
    <t>คำพัน</t>
  </si>
  <si>
    <t>Khamphan</t>
  </si>
  <si>
    <t>061-1712968</t>
  </si>
  <si>
    <t>สุริยา</t>
  </si>
  <si>
    <t>คงทรัพย์</t>
  </si>
  <si>
    <t>Suriya</t>
  </si>
  <si>
    <t>บัณฑุวรรณ</t>
  </si>
  <si>
    <t>กฤษฎากรณ์</t>
  </si>
  <si>
    <t>แก้วพรม</t>
  </si>
  <si>
    <t>Kitsadaporn</t>
  </si>
  <si>
    <t>Kaewprom</t>
  </si>
  <si>
    <t>วิราศิณี</t>
  </si>
  <si>
    <t>สืบสำราญ</t>
  </si>
  <si>
    <t>นันนิชา</t>
  </si>
  <si>
    <t>สารทักษิณ</t>
  </si>
  <si>
    <t>สุรยุทธ</t>
  </si>
  <si>
    <t>ไชยราช</t>
  </si>
  <si>
    <t>Surayut</t>
  </si>
  <si>
    <t>Chaiyarat</t>
  </si>
  <si>
    <t>สุชาดา</t>
  </si>
  <si>
    <t>แสนสิงห์</t>
  </si>
  <si>
    <t>Suchada</t>
  </si>
  <si>
    <t>Sansing</t>
  </si>
  <si>
    <t>091-6969607</t>
  </si>
  <si>
    <t>คงศักดิ์</t>
  </si>
  <si>
    <t>082-1583520</t>
  </si>
  <si>
    <t xml:space="preserve">อภิลักษ์ </t>
  </si>
  <si>
    <t>หมุนลี</t>
  </si>
  <si>
    <t>วารุณี</t>
  </si>
  <si>
    <t>แสงแก้ว</t>
  </si>
  <si>
    <t>ปานนอก</t>
  </si>
  <si>
    <t>รังษี</t>
  </si>
  <si>
    <t>ศรีป่า</t>
  </si>
  <si>
    <t>นักระบำ</t>
  </si>
  <si>
    <t>ภานุพงศ์</t>
  </si>
  <si>
    <t>บังอร</t>
  </si>
  <si>
    <t>วิทยา</t>
  </si>
  <si>
    <t>บูรณะ</t>
  </si>
  <si>
    <t>มณีนทร</t>
  </si>
  <si>
    <t>เหล่าภักดี</t>
  </si>
  <si>
    <t>Rangsee</t>
  </si>
  <si>
    <t>Sripa</t>
  </si>
  <si>
    <t>Nakrabam</t>
  </si>
  <si>
    <t>Bangon</t>
  </si>
  <si>
    <t>Witthaya</t>
  </si>
  <si>
    <t>Burana</t>
  </si>
  <si>
    <t>Maneenatorn</t>
  </si>
  <si>
    <t>Laopakdee</t>
  </si>
  <si>
    <t>092-8168170</t>
  </si>
  <si>
    <t>061-4844907</t>
  </si>
  <si>
    <t>095-5108198</t>
  </si>
  <si>
    <t>083-9369234</t>
  </si>
  <si>
    <t>ธนพนธ์</t>
  </si>
  <si>
    <t>พงษ์พรม</t>
  </si>
  <si>
    <t>Thanaphon</t>
  </si>
  <si>
    <t>Phongphrom</t>
  </si>
  <si>
    <t>TTV03036</t>
  </si>
  <si>
    <t>สราวุธ</t>
  </si>
  <si>
    <t>เลนชัยสงค์</t>
  </si>
  <si>
    <t>ธารินทร์</t>
  </si>
  <si>
    <t>ศาลางาม</t>
  </si>
  <si>
    <t>Tharin</t>
  </si>
  <si>
    <t>Salangam</t>
  </si>
  <si>
    <t>สิทธิชัย</t>
  </si>
  <si>
    <t>ก่อแก้ว</t>
  </si>
  <si>
    <t>Sitthichai</t>
  </si>
  <si>
    <t>Kokaew</t>
  </si>
  <si>
    <t>062-2786578</t>
  </si>
  <si>
    <t>Section Manager</t>
  </si>
  <si>
    <t>TTTV3454</t>
  </si>
  <si>
    <t>นิติ</t>
  </si>
  <si>
    <t>ทิพโชติ</t>
  </si>
  <si>
    <t>Niti</t>
  </si>
  <si>
    <t>Thipachot</t>
  </si>
  <si>
    <t>รัตธิกา</t>
  </si>
  <si>
    <t>สิมลา</t>
  </si>
  <si>
    <t>Ratthika</t>
  </si>
  <si>
    <t>Simla</t>
  </si>
  <si>
    <t>098-1833945</t>
  </si>
  <si>
    <t>ปุณยาพร</t>
  </si>
  <si>
    <t>พานิชย์</t>
  </si>
  <si>
    <t>TTTV3513</t>
  </si>
  <si>
    <t>ขวัญมนัส</t>
  </si>
  <si>
    <t>Khwanmanat</t>
  </si>
  <si>
    <t>064-8361980</t>
  </si>
  <si>
    <t>TTV03118</t>
  </si>
  <si>
    <t>ยุทธนา</t>
  </si>
  <si>
    <t>ณัฐณรงค์</t>
  </si>
  <si>
    <t>สีวอ</t>
  </si>
  <si>
    <t>Yutthana</t>
  </si>
  <si>
    <t>Nutnarong</t>
  </si>
  <si>
    <t>Siwo</t>
  </si>
  <si>
    <t>TTV03060</t>
  </si>
  <si>
    <t>ชมบุญ</t>
  </si>
  <si>
    <t>พันธ์บัว</t>
  </si>
  <si>
    <t>Chombun</t>
  </si>
  <si>
    <t>Phanbua</t>
  </si>
  <si>
    <t xml:space="preserve">FTM-SE </t>
  </si>
  <si>
    <t>กิติพงษ์</t>
  </si>
  <si>
    <t>มาสมจิตร</t>
  </si>
  <si>
    <t>Khitipong</t>
  </si>
  <si>
    <t>Masomjitr</t>
  </si>
  <si>
    <t>TTV03189</t>
  </si>
  <si>
    <t>TTTV3629</t>
  </si>
  <si>
    <t>พันธ์เพ็ง</t>
  </si>
  <si>
    <t>Phirawat</t>
  </si>
  <si>
    <t>Phanpheng</t>
  </si>
  <si>
    <t>099-2917436</t>
  </si>
  <si>
    <t>ภาคพรหม</t>
  </si>
  <si>
    <t>พีรวัฒน์</t>
  </si>
  <si>
    <t>เอกวุฒิ</t>
  </si>
  <si>
    <t>ตอพอ</t>
  </si>
  <si>
    <t>061-7622287</t>
  </si>
  <si>
    <t>สุทัศน์</t>
  </si>
  <si>
    <t>คงยืน</t>
  </si>
  <si>
    <t>Sutach</t>
  </si>
  <si>
    <t>Khongyuen</t>
  </si>
  <si>
    <t>089-9349724</t>
  </si>
  <si>
    <t>อุษา</t>
  </si>
  <si>
    <t>Usa</t>
  </si>
  <si>
    <t>Phakprom</t>
  </si>
  <si>
    <t>TTTV3652</t>
  </si>
  <si>
    <t>สุขสันต์</t>
  </si>
  <si>
    <t>Suksan</t>
  </si>
  <si>
    <t>Pansang</t>
  </si>
  <si>
    <t>TTTV3657</t>
  </si>
  <si>
    <t>ปานสังข์</t>
  </si>
  <si>
    <t xml:space="preserve">                             FTM-SE - MANPOWER</t>
  </si>
  <si>
    <t xml:space="preserve"> </t>
  </si>
  <si>
    <t>ธีรศักดิ์</t>
  </si>
  <si>
    <t>หงสุวรรณ์</t>
  </si>
  <si>
    <t>Thirasak</t>
  </si>
  <si>
    <t>Hongsuwan</t>
  </si>
  <si>
    <t>092-3353464</t>
  </si>
  <si>
    <t>TTTV3671</t>
  </si>
  <si>
    <t>TTTV3680</t>
  </si>
  <si>
    <t>ทิพศร</t>
  </si>
  <si>
    <t>Tipson</t>
  </si>
  <si>
    <t>062-5650998</t>
  </si>
  <si>
    <t>พนม</t>
  </si>
  <si>
    <t>ทรชน</t>
  </si>
  <si>
    <t>Panom</t>
  </si>
  <si>
    <t>Torachon</t>
  </si>
  <si>
    <t>065-2764198</t>
  </si>
  <si>
    <t>TTTV3683</t>
  </si>
  <si>
    <t>สันติ</t>
  </si>
  <si>
    <t>Santi</t>
  </si>
  <si>
    <t>Arnusijan</t>
  </si>
  <si>
    <t>อนุสีจันทร์</t>
  </si>
  <si>
    <t>TTTV3691</t>
  </si>
  <si>
    <t>064-4609467</t>
  </si>
  <si>
    <t>อภิวัฒน์</t>
  </si>
  <si>
    <t>สุขเจริญ</t>
  </si>
  <si>
    <t>Aphiwat</t>
  </si>
  <si>
    <t>Sukjaroen</t>
  </si>
  <si>
    <t>TTTV3692</t>
  </si>
  <si>
    <t>TTTV3697</t>
  </si>
  <si>
    <t>จักรพันธุ์</t>
  </si>
  <si>
    <t>สิงห์ศาลาแสง</t>
  </si>
  <si>
    <t>Jakkapan</t>
  </si>
  <si>
    <t>Singsalaseang</t>
  </si>
  <si>
    <t>064-6606122</t>
  </si>
  <si>
    <t>TTV02417</t>
  </si>
  <si>
    <t>ทรงพล</t>
  </si>
  <si>
    <t>กิ่งเงิน</t>
  </si>
  <si>
    <t>TTV03257</t>
  </si>
  <si>
    <t>ณัฐชนนท์</t>
  </si>
  <si>
    <t>ด้วงบุดดี</t>
  </si>
  <si>
    <t>Natchanon</t>
  </si>
  <si>
    <t>Duangbutdi</t>
  </si>
  <si>
    <t>094-3083810</t>
  </si>
  <si>
    <t>Songpon</t>
  </si>
  <si>
    <t>King-ngoen</t>
  </si>
  <si>
    <t>จตุพล</t>
  </si>
  <si>
    <t>Chatuphon</t>
  </si>
  <si>
    <t>082-2806398</t>
  </si>
  <si>
    <t>TTTV3707</t>
  </si>
  <si>
    <t>TTV03275</t>
  </si>
  <si>
    <t>TTV03284</t>
  </si>
  <si>
    <t>TTV03285</t>
  </si>
  <si>
    <t>TTV03286</t>
  </si>
  <si>
    <t>TTV03288</t>
  </si>
  <si>
    <t>TTV03290</t>
  </si>
  <si>
    <t>TTV03291</t>
  </si>
  <si>
    <t>TTV03292</t>
  </si>
  <si>
    <t>TTV03294</t>
  </si>
  <si>
    <t>TTV03298</t>
  </si>
  <si>
    <t>TTV03299</t>
  </si>
  <si>
    <t>TTV03301</t>
  </si>
  <si>
    <t>TTV03302</t>
  </si>
  <si>
    <t>TTV03304</t>
  </si>
  <si>
    <t>TTV03305</t>
  </si>
  <si>
    <t>TTV03306</t>
  </si>
  <si>
    <t>TTV03307</t>
  </si>
  <si>
    <t>TTV03309</t>
  </si>
  <si>
    <t>TTV03310</t>
  </si>
  <si>
    <t>TTV03311</t>
  </si>
  <si>
    <t>TTV03312</t>
  </si>
  <si>
    <t>TTV03313</t>
  </si>
  <si>
    <t>TTV03315</t>
  </si>
  <si>
    <t>TTV03316</t>
  </si>
  <si>
    <t>TTV03321</t>
  </si>
  <si>
    <t>TTV03322</t>
  </si>
  <si>
    <t>TTV03325</t>
  </si>
  <si>
    <t>TTV03326</t>
  </si>
  <si>
    <t>ย้ายกะวันที่20-06-22,ปรับประจำ 1-10-23</t>
  </si>
  <si>
    <t>นรินทร์</t>
  </si>
  <si>
    <t>สีหาไพ</t>
  </si>
  <si>
    <t>Narin</t>
  </si>
  <si>
    <t>Seehaphai</t>
  </si>
  <si>
    <t>091-7152585</t>
  </si>
  <si>
    <t>TTTV3730</t>
  </si>
  <si>
    <t>TTTV3735</t>
  </si>
  <si>
    <t>ธนบูรณ์</t>
  </si>
  <si>
    <t>โกเมน</t>
  </si>
  <si>
    <t>Thanaboon</t>
  </si>
  <si>
    <t>Komen</t>
  </si>
  <si>
    <t>096-0254091</t>
  </si>
  <si>
    <t>ณัฐวุฒิ</t>
  </si>
  <si>
    <t>เต็มจิตร</t>
  </si>
  <si>
    <t>Nattawut</t>
  </si>
  <si>
    <t>Temjit</t>
  </si>
  <si>
    <t>TTTV3758</t>
  </si>
  <si>
    <t>087-9617459</t>
  </si>
  <si>
    <t>พัชญ์ชิสา</t>
  </si>
  <si>
    <t>ยุระศรี</t>
  </si>
  <si>
    <t>Pudchisa</t>
  </si>
  <si>
    <t>Yurasri</t>
  </si>
  <si>
    <t>TTTV3761</t>
  </si>
  <si>
    <t>062-7812744</t>
  </si>
  <si>
    <t>TTTV3782</t>
  </si>
  <si>
    <t>ธันวา</t>
  </si>
  <si>
    <t>ลำแก้ว</t>
  </si>
  <si>
    <t>Thanwa</t>
  </si>
  <si>
    <t>Ramkaeo</t>
  </si>
  <si>
    <t>087-2161714</t>
  </si>
  <si>
    <t>กาณฑ์</t>
  </si>
  <si>
    <t>อัญชะลีพร</t>
  </si>
  <si>
    <t>TTV03374</t>
  </si>
  <si>
    <t>Gan</t>
  </si>
  <si>
    <t>Anchaleepon</t>
  </si>
  <si>
    <t>TTTV3787</t>
  </si>
  <si>
    <t>ธนพล</t>
  </si>
  <si>
    <t>ยิ่งกำแหง</t>
  </si>
  <si>
    <t>ภาณุพงศ์</t>
  </si>
  <si>
    <t>ปะทิรัมย์</t>
  </si>
  <si>
    <t>TTTV3789</t>
  </si>
  <si>
    <t>ย้ายมาจาก ABT 17-06-24</t>
  </si>
  <si>
    <t>กมลวิทย์</t>
  </si>
  <si>
    <t>ตุงไธสง</t>
  </si>
  <si>
    <t>TTTV3803</t>
  </si>
  <si>
    <t>TTTV3814</t>
  </si>
  <si>
    <t>อาณัฐชัย</t>
  </si>
  <si>
    <t>อินนะรายรัมย์</t>
  </si>
  <si>
    <t>A-natachai</t>
  </si>
  <si>
    <t>Ainnarairam</t>
  </si>
  <si>
    <t>099-7936674</t>
  </si>
  <si>
    <t xml:space="preserve">New Supavut </t>
  </si>
  <si>
    <t>TTTV3820</t>
  </si>
  <si>
    <t>อัครพนธ์</t>
  </si>
  <si>
    <t>พื้นดอนเค็ง</t>
  </si>
  <si>
    <t>Akkharaphon</t>
  </si>
  <si>
    <t>Phuendonkheng</t>
  </si>
  <si>
    <t>099-0654776</t>
  </si>
  <si>
    <t>ธิติพงศ์</t>
  </si>
  <si>
    <t>เพ็ชรศิลามณี</t>
  </si>
  <si>
    <t>Thitipong</t>
  </si>
  <si>
    <t>Petchsilamanee</t>
  </si>
  <si>
    <t>082-7014716</t>
  </si>
  <si>
    <t>TTTV3827</t>
  </si>
  <si>
    <t xml:space="preserve">New </t>
  </si>
  <si>
    <t>ย้ายจากAAT-SE to FTM 01-02-22</t>
  </si>
  <si>
    <t>จาก F/L ปรับ Operation Supervisor แทนณัฐพล วัดทุ่งใหญ่ ที่ออก</t>
  </si>
  <si>
    <t>จาก F/L ปรับ Operation Supervisor แทนพลประชา โต๊ะงาม ที่ออก</t>
  </si>
  <si>
    <t>จาก Op ปรับ Operation Supervisor แทนพิมุกภูษิต  ที่ออก</t>
  </si>
  <si>
    <t>จาก Data ปรับ cs แทนชนัญชิดา เจือมา ที่ออก</t>
  </si>
  <si>
    <t>แทนวีระชาติ ตะนานาต ที่ออก</t>
  </si>
  <si>
    <t>แทนอานนท์ เสาทองที่ออก</t>
  </si>
  <si>
    <t>จากOP To FL แทนชาญณรงศ์ จันขอนแก่น ที่ออก</t>
  </si>
  <si>
    <t>แทนเตชินท์ ชุบขุนทด ที่ออก</t>
  </si>
  <si>
    <t>แทนชุมพล เชิญกลาง ที่ออก</t>
  </si>
  <si>
    <t>แทนจารุกิตติ์ เจริญรัมย์ ที่ออก</t>
  </si>
  <si>
    <t>แทนชัยโย ที่ออก</t>
  </si>
  <si>
    <t>แทนสรรเพชญ์ หลาบพา ที่ออก</t>
  </si>
  <si>
    <t>Tranfer มาจากกล่องดวงใจ 31-01-23,แทนวรฤทธิ์  อุ่นเทียมโสมที่ออก ,ปรับประจำ 1-10-23</t>
  </si>
  <si>
    <t xml:space="preserve">จากOp โปรโมท FL แทนอนันต์ สุระชัย ที่ออก </t>
  </si>
  <si>
    <t xml:space="preserve">แทนจิรกิตต์ พืบขุนทด ที่ออก มีการปรับ จาก OP ปรับ F/L Supavut </t>
  </si>
  <si>
    <t>แทนทินกร กังวลงาน ที่ออก,จากตำแหน่ง FL ปรับ  Operativeมีผล01-06-24</t>
  </si>
  <si>
    <t>แทนศุภวัฒน์ ปฏิชัย ที่ออก</t>
  </si>
  <si>
    <t>แทนสุวนันท์ นุ่มนวลศรี ที่ย้ายไปมาสด้า</t>
  </si>
  <si>
    <t>รับชั่วคราว 3 เดือน ทดแทนกิตติธัช เคยชิน ที่เกิดอุบัติเหตุ ,ปรับ FL แทนกิตติธัช เคยชิน ที่ปรับเป็นOp</t>
  </si>
  <si>
    <t>แทนธันวา บุตรสอน ที่ออก ,ปรับFL แทนสันติ อนุสีจันทร์ ที่ปรับFl To Op</t>
  </si>
  <si>
    <t>แทนภาณุพงศ์ ปะทิรัมย์ ที่ออก</t>
  </si>
  <si>
    <t>ศราวุฒิ</t>
  </si>
  <si>
    <t>คลังแก้ว</t>
  </si>
  <si>
    <t>Kangkaew</t>
  </si>
  <si>
    <t>061-5149140</t>
  </si>
  <si>
    <t xml:space="preserve">ทดแทนนายกิติพงษ์ มาสมจิตร ที่โปรโมท Sup </t>
  </si>
  <si>
    <t>TTTV3839</t>
  </si>
  <si>
    <t>สรายุทธ</t>
  </si>
  <si>
    <t>ชีรัมย์</t>
  </si>
  <si>
    <t>Sarayut</t>
  </si>
  <si>
    <t>Cheeram</t>
  </si>
  <si>
    <t>ทดแทนนายชัยยุทธ  อุรีรัมย์ ที่ออก</t>
  </si>
  <si>
    <t>081-6868034</t>
  </si>
  <si>
    <t>TTTV3852</t>
  </si>
  <si>
    <t>063-9305008</t>
  </si>
  <si>
    <t>065-0326423</t>
  </si>
  <si>
    <t>065-4765290</t>
  </si>
  <si>
    <t>084-3523351</t>
  </si>
  <si>
    <t>086-9215101</t>
  </si>
  <si>
    <t>083-1406803</t>
  </si>
  <si>
    <t>084-2907181</t>
  </si>
  <si>
    <t>093-0547950</t>
  </si>
  <si>
    <t>092-2546601</t>
  </si>
  <si>
    <t>065-3457148</t>
  </si>
  <si>
    <t>080-9464613</t>
  </si>
  <si>
    <t>หงษ์สุวรรณ์</t>
  </si>
  <si>
    <t>แทนวรพล มะโนศรี ที่ออก,ย้ายมาจากกล่องดวงใจ,ปรับเป็น F/L 01-02-25</t>
  </si>
  <si>
    <t>แทนปุณยาพร พานิชย์ ที่โปรโมท to Data  ,จาก Qa T0 Data  01-02-25</t>
  </si>
  <si>
    <t>TTTV3859</t>
  </si>
  <si>
    <t>กรวิวัฒน์</t>
  </si>
  <si>
    <t>สายแสง</t>
  </si>
  <si>
    <t>Konwiwat</t>
  </si>
  <si>
    <t>Saisaeng</t>
  </si>
  <si>
    <t>095-9962835</t>
  </si>
  <si>
    <t xml:space="preserve"> ทดแทนนายธนาธิป แก้วปลั่ง ที่ออก</t>
  </si>
  <si>
    <t>090-3239198</t>
  </si>
  <si>
    <t>098-5593888</t>
  </si>
  <si>
    <t>098-4933658</t>
  </si>
  <si>
    <t>092-8925480</t>
  </si>
  <si>
    <t>TTTV3862</t>
  </si>
  <si>
    <t>อภิสิทธิ์</t>
  </si>
  <si>
    <t>ไชยมั่น</t>
  </si>
  <si>
    <t>Apisit</t>
  </si>
  <si>
    <t>Chaiman</t>
  </si>
  <si>
    <t>090-2766622</t>
  </si>
  <si>
    <t>ทดแทนนายวรรณศิริ บุดดาสิม ที่ย้ายไป AAT-SE 01-02-25</t>
  </si>
  <si>
    <t>รังสรรค์</t>
  </si>
  <si>
    <t>อักษรณรงค์</t>
  </si>
  <si>
    <t>Rangsan</t>
  </si>
  <si>
    <t>Aksornnarong</t>
  </si>
  <si>
    <t>065-0326626</t>
  </si>
  <si>
    <t>ทดแทนนายพีรพัฒน์   สังข์ทองหลาง   ออกวันที่ 17-02-25</t>
  </si>
  <si>
    <t>TTTV3867</t>
  </si>
  <si>
    <t>ปรับF/L 01-04-25 ทดแทนจีรวัฒน์  เกตุมณี   ที่ออก 23-01-25 , ปรับมีผล 01-04-25</t>
  </si>
  <si>
    <t>TTTV3879</t>
  </si>
  <si>
    <t>TTTV3880</t>
  </si>
  <si>
    <t>อัครพล</t>
  </si>
  <si>
    <t>พิมพ์ประโคน</t>
  </si>
  <si>
    <t>ชนินทร์</t>
  </si>
  <si>
    <t>ปะทะรัมย์</t>
  </si>
  <si>
    <t>Oakkharaphon</t>
  </si>
  <si>
    <t>Phimprakhon</t>
  </si>
  <si>
    <t>Chanin</t>
  </si>
  <si>
    <t>Pataram</t>
  </si>
  <si>
    <t>097-9272137</t>
  </si>
  <si>
    <t>081-9879118</t>
  </si>
  <si>
    <t>ทดแทนนายทักษ์ดนัย ผลสง่า ที่ออกวันที่01-04-25</t>
  </si>
  <si>
    <t>ทดแทนนายณัฐวุฒิ เชตะวัน ที่ออก 19-03-25</t>
  </si>
  <si>
    <t>TTTV3882</t>
  </si>
  <si>
    <t>ทุมขุนทด</t>
  </si>
  <si>
    <t>Thumkhunthod</t>
  </si>
  <si>
    <t>081-0170388</t>
  </si>
  <si>
    <t>ทดแทนนายประชา ภาคพรหม ที่ออก</t>
  </si>
  <si>
    <t>สี</t>
  </si>
  <si>
    <t>เขียว</t>
  </si>
  <si>
    <t>ขาว</t>
  </si>
  <si>
    <t>ไซส์</t>
  </si>
  <si>
    <t>L</t>
  </si>
  <si>
    <t>2XL</t>
  </si>
  <si>
    <t>เขียว(แขนยาว)</t>
  </si>
  <si>
    <t>3XL</t>
  </si>
  <si>
    <t>1 ตัว ขอเปลี่ยน2xl</t>
  </si>
  <si>
    <t xml:space="preserve">ณัฐนันท์ </t>
  </si>
  <si>
    <t>2 ตัว ขอเปลี่ยน xl เลยเอาเสื้อ xl ให้หัวหน้าใหม่แทน</t>
  </si>
  <si>
    <t>085-8249364</t>
  </si>
  <si>
    <t>TTTV3886</t>
  </si>
  <si>
    <t>จิรพัฒน์</t>
  </si>
  <si>
    <t>แจ่มจรัส</t>
  </si>
  <si>
    <t>Jirapat</t>
  </si>
  <si>
    <t>Chamcharus</t>
  </si>
  <si>
    <t>085-6633691</t>
  </si>
  <si>
    <t>TTV03281</t>
  </si>
  <si>
    <t>คุณกันหา</t>
  </si>
  <si>
    <t>Phoorin</t>
  </si>
  <si>
    <t>Khunkanha</t>
  </si>
  <si>
    <t>099-2430437</t>
  </si>
  <si>
    <t>ทดแทนนายอภิลักษ์ หมุนลี ที่ออก</t>
  </si>
  <si>
    <t>ภูรินท์</t>
  </si>
  <si>
    <t>เจษฎา</t>
  </si>
  <si>
    <t>บุญทน</t>
  </si>
  <si>
    <t>ภีรเดช</t>
  </si>
  <si>
    <t>TTTV3891</t>
  </si>
  <si>
    <t>TTTV3892</t>
  </si>
  <si>
    <t>Phiradet</t>
  </si>
  <si>
    <t>Santhaksin</t>
  </si>
  <si>
    <t>Jedsada</t>
  </si>
  <si>
    <t>Bonthon</t>
  </si>
  <si>
    <t>064-4108184</t>
  </si>
  <si>
    <t>096-1532753</t>
  </si>
  <si>
    <t>ทดแทนธีระศักดิ์ ภาษี ที่ออก</t>
  </si>
  <si>
    <t>ทดแทนนายรุ่งรวิน คลังภูเขียว ที่ออก</t>
  </si>
  <si>
    <t>เอกภพ</t>
  </si>
  <si>
    <t>เอี่ยมสอาด</t>
  </si>
  <si>
    <t>ธีระ</t>
  </si>
  <si>
    <t>พิมพา</t>
  </si>
  <si>
    <t>ทดแทนนายทวีศักดิ์ เทพหทัย ที่ออก</t>
  </si>
  <si>
    <t>TTTV3895</t>
  </si>
  <si>
    <t>TTTV3896</t>
  </si>
  <si>
    <t>Akapop</t>
  </si>
  <si>
    <t>Aiemsaard</t>
  </si>
  <si>
    <t>Phimpha</t>
  </si>
  <si>
    <t>Teera</t>
  </si>
  <si>
    <t>092-3510537</t>
  </si>
  <si>
    <t>065-6179217</t>
  </si>
  <si>
    <t>แทนดาริน อัจฉราโภคิน ที่ออก ย้ายมาจาก AAT-SE 01-08-25</t>
  </si>
  <si>
    <t>แทนสุนิษา คำมา ที่ออก,ปรับดาด้า 01-08-25 แทนพัทธนันท์ สิทธิวัชร์วรกุล ที่ออก</t>
  </si>
  <si>
    <t>TTV03453</t>
  </si>
  <si>
    <t>จากตำแหน่ง OP โปรโมท Operation Supervisor ทดแทนสุทธิชัย ศรีโคตร ที่ย้าย AAT-Se 01-10-24,ปรับประจำ 01-09-25</t>
  </si>
  <si>
    <t>TTV03454</t>
  </si>
  <si>
    <t>แทนถานุ ศูนย์รัมย์ ที่ออก ,จากF/L โปรโมท Operation Supervisor แทน วรพจน์ เคนะ ที่ออก,ปรับประจำ 01-09-25</t>
  </si>
  <si>
    <t>นิกร</t>
  </si>
  <si>
    <t>กันแก้ว</t>
  </si>
  <si>
    <t>Nikorn</t>
  </si>
  <si>
    <t>Kankaew</t>
  </si>
  <si>
    <t>065-8834197</t>
  </si>
  <si>
    <t>ทดแทนนพพร เพ่งทิศที่ออก</t>
  </si>
  <si>
    <t>TTTV3901</t>
  </si>
  <si>
    <t>ธีรภัทร</t>
  </si>
  <si>
    <t>ชารี</t>
  </si>
  <si>
    <t>Thiraphat</t>
  </si>
  <si>
    <t>Charee</t>
  </si>
  <si>
    <t>TTTV3903</t>
  </si>
  <si>
    <t>096-3527776</t>
  </si>
  <si>
    <t>TTTV3905</t>
  </si>
  <si>
    <t>พุฒิพงศ์</t>
  </si>
  <si>
    <t>แนบพิมาย</t>
  </si>
  <si>
    <t>Puttipong</t>
  </si>
  <si>
    <t>Nabpimai</t>
  </si>
  <si>
    <t>080-9472293</t>
  </si>
  <si>
    <t>ทดแทนนายไวทูล มีเจริญ ที่ออก</t>
  </si>
  <si>
    <t>ทองคำ</t>
  </si>
  <si>
    <t xml:space="preserve"> พิทูร  </t>
  </si>
  <si>
    <t>ลำดับNO.</t>
  </si>
  <si>
    <t>รหัสพนักงานEmp. Code</t>
  </si>
  <si>
    <t>ตำแหน่ง</t>
  </si>
  <si>
    <t>โปรเจค</t>
  </si>
  <si>
    <t>แผนก</t>
  </si>
  <si>
    <t>ประจำ</t>
  </si>
  <si>
    <t>Thai Name</t>
  </si>
  <si>
    <t>Lastname</t>
  </si>
  <si>
    <t>English Name</t>
  </si>
  <si>
    <t>Site</t>
  </si>
  <si>
    <t>Start Date</t>
  </si>
  <si>
    <t>TTV</t>
  </si>
  <si>
    <t>TQS00008</t>
  </si>
  <si>
    <t>Virasinee</t>
  </si>
  <si>
    <t>Sabsamran</t>
  </si>
  <si>
    <t>TQS00010</t>
  </si>
  <si>
    <t>กิตติยา</t>
  </si>
  <si>
    <t>จงกลณี</t>
  </si>
  <si>
    <t>Kittiya</t>
  </si>
  <si>
    <t>Chongkonni</t>
  </si>
  <si>
    <t>TQS00012</t>
  </si>
  <si>
    <t>ธัญวรรณ</t>
  </si>
  <si>
    <t>มงคลดี</t>
  </si>
  <si>
    <t>Thanyawan</t>
  </si>
  <si>
    <t>Mongkondee</t>
  </si>
  <si>
    <t>TQS00013</t>
  </si>
  <si>
    <t>ชุติมันต์</t>
  </si>
  <si>
    <t>ปันแสน</t>
  </si>
  <si>
    <t>Chutiman</t>
  </si>
  <si>
    <t>Pansaen</t>
  </si>
  <si>
    <t>TQS00014</t>
  </si>
  <si>
    <t>ชญาภา</t>
  </si>
  <si>
    <t>บุญเลิศ</t>
  </si>
  <si>
    <t>Chayapa</t>
  </si>
  <si>
    <t>Bunloet</t>
  </si>
  <si>
    <t>TQS00015</t>
  </si>
  <si>
    <t>ปรมัตถ์</t>
  </si>
  <si>
    <t>พิมพ์ทอง</t>
  </si>
  <si>
    <t>TQS00016</t>
  </si>
  <si>
    <t>อรทัย</t>
  </si>
  <si>
    <t>อาชินรัมย์</t>
  </si>
  <si>
    <t>Orathai</t>
  </si>
  <si>
    <t>Archinram</t>
  </si>
  <si>
    <t>TQS00018</t>
  </si>
  <si>
    <t>ก้องนภา</t>
  </si>
  <si>
    <t>มิลานันท์</t>
  </si>
  <si>
    <t>Kongnapa</t>
  </si>
  <si>
    <t>Milanan</t>
  </si>
  <si>
    <t>TQS00021</t>
  </si>
  <si>
    <t>พิยดา</t>
  </si>
  <si>
    <t>วังแก้ว</t>
  </si>
  <si>
    <t>Phiyada</t>
  </si>
  <si>
    <t>Wangkaew</t>
  </si>
  <si>
    <t>หมายเหตุ</t>
  </si>
  <si>
    <t>ศุภฤกษ์</t>
  </si>
  <si>
    <t>ไชยรัตน์</t>
  </si>
  <si>
    <t>ทดแทนอารยะ ทิพย์รัตน์ ที่ออก</t>
  </si>
  <si>
    <t>TTTV3907</t>
  </si>
  <si>
    <t>Suphaloek</t>
  </si>
  <si>
    <t>064-9134767</t>
  </si>
  <si>
    <t>ชีระวิทย์</t>
  </si>
  <si>
    <t>TTTV3912</t>
  </si>
  <si>
    <t>อยู่ยืน</t>
  </si>
  <si>
    <t>Chirawit</t>
  </si>
  <si>
    <t>Yuyuen</t>
  </si>
  <si>
    <t>096-4048991</t>
  </si>
  <si>
    <t xml:space="preserve">ทดแทนจักรพันธุ์ สิงศาลาแสง ที่โปรโมท F/L </t>
  </si>
  <si>
    <t>ย้าย TQS วันที่ 01-10-25</t>
  </si>
  <si>
    <t>ทดแทนเอกวุฒิ ตอพอที่ออก,ปรับ F/L  01-11-25</t>
  </si>
  <si>
    <t>ปิยะ</t>
  </si>
  <si>
    <t>Piya</t>
  </si>
  <si>
    <t>063-9505096</t>
  </si>
  <si>
    <t>ทดแทนศุภกร โกศล ที่ออก</t>
  </si>
  <si>
    <t>TTTV3916</t>
  </si>
  <si>
    <t>แทนสงกรานต์ สีกอกมาตย์ ที่ออก , ปรับ F/L 01-12-25</t>
  </si>
  <si>
    <t>TTV02536</t>
  </si>
  <si>
    <t>ธวัชชัย</t>
  </si>
  <si>
    <t xml:space="preserve">  </t>
  </si>
  <si>
    <t>TTTV3946</t>
  </si>
  <si>
    <t>กิตติทัต</t>
  </si>
  <si>
    <t>นิลศิริ</t>
  </si>
  <si>
    <t>Kitthitad</t>
  </si>
  <si>
    <t>Nilsiri</t>
  </si>
  <si>
    <t>080-0320301</t>
  </si>
  <si>
    <t xml:space="preserve">ทดแทนนายกมลวิทย์ ตุงไธสง ที่ออก </t>
  </si>
  <si>
    <t>TTTV3949</t>
  </si>
  <si>
    <t>คชานนท์</t>
  </si>
  <si>
    <t>สิทธิจันทร์</t>
  </si>
  <si>
    <t>Kachanon</t>
  </si>
  <si>
    <t>Sittijan</t>
  </si>
  <si>
    <t>080-6793259</t>
  </si>
  <si>
    <t>ทดแทนนายวาทิน  สังขสถาพร   ที่ออก</t>
  </si>
  <si>
    <t>TTV03472</t>
  </si>
  <si>
    <t>Phithun</t>
  </si>
  <si>
    <t>Thongkham</t>
  </si>
  <si>
    <t>คนกล่องดวงใจมาช่วย 2 อาทิตย์  มาวันที่ 13-10-25 ,  พนักงานย้ายมาจากกล่อง , เอกสารมีผลย้ายมาFTM-SE 01-01-26  ทดแทนภาคิน คำฝึกฝน ที่ออก</t>
  </si>
  <si>
    <t>063-8958618</t>
  </si>
  <si>
    <t>086-9964869</t>
  </si>
  <si>
    <t>TTTV3950</t>
  </si>
  <si>
    <t>กิตติพงษ์</t>
  </si>
  <si>
    <t>พันเทศ</t>
  </si>
  <si>
    <t>Kittiphong</t>
  </si>
  <si>
    <t>Phanthet</t>
  </si>
  <si>
    <t>065-6749245</t>
  </si>
  <si>
    <t>ทดแทนวรสันต์ สุริยันต์  ที่ออก</t>
  </si>
  <si>
    <t>TTTV3956</t>
  </si>
  <si>
    <t>พิพัฒน์พล</t>
  </si>
  <si>
    <t>จันทะพล</t>
  </si>
  <si>
    <t>Piputpon</t>
  </si>
  <si>
    <t>Juntapon</t>
  </si>
  <si>
    <t>062-3540775</t>
  </si>
  <si>
    <t>ทดแทนภานุวัฒน์ คำทอง ที่ออก</t>
  </si>
  <si>
    <t>TQS00039</t>
  </si>
  <si>
    <t>เจนจิรา</t>
  </si>
  <si>
    <t>ทิพวัน</t>
  </si>
  <si>
    <t>Jenjira</t>
  </si>
  <si>
    <t>Thippawan</t>
  </si>
  <si>
    <t>ทดแทนนางสาวพรนภา หมื่นแสน ที่ออก</t>
  </si>
  <si>
    <t>เริ่มงานทำงานที่ FTM  16-02-26</t>
  </si>
  <si>
    <t>TTV00802</t>
  </si>
  <si>
    <t>รุ่งโรจน์</t>
  </si>
  <si>
    <t>พิศโสระ</t>
  </si>
  <si>
    <t xml:space="preserve">Improvement Section Manager </t>
  </si>
  <si>
    <t xml:space="preserve"> โชคสวัสดิ์</t>
  </si>
  <si>
    <t>TTTV3961</t>
  </si>
  <si>
    <t>ธัชชัย</t>
  </si>
  <si>
    <t>เลิศล้ำ</t>
  </si>
  <si>
    <t>Thatchai</t>
  </si>
  <si>
    <t>Loedlam</t>
  </si>
  <si>
    <t>064-6734651</t>
  </si>
  <si>
    <t>ทดแทนนายอันธิชา  ขันทอง  ที่ออก</t>
  </si>
  <si>
    <t>เสื้อโปโลสีเขียวแขนสั้น</t>
  </si>
  <si>
    <t>S</t>
  </si>
  <si>
    <t>XL</t>
  </si>
  <si>
    <t>TTTV3963</t>
  </si>
  <si>
    <t>สมพงษ์</t>
  </si>
  <si>
    <t>กระจ่างพันธ์</t>
  </si>
  <si>
    <t>Sompong</t>
  </si>
  <si>
    <t>Krajangphan</t>
  </si>
  <si>
    <t>099-0929031</t>
  </si>
  <si>
    <t>ทดแทนนายอนุวัฒน์  ทัศนิยม ที่ออก</t>
  </si>
  <si>
    <t xml:space="preserve"> ย้ายมาจากจากAAT-SE 01-09-25 ,ย้าย TQS วันที่ 01-10-25</t>
  </si>
  <si>
    <t>TTTV3966</t>
  </si>
  <si>
    <t>ภูริชา</t>
  </si>
  <si>
    <t>สมบูรณ์</t>
  </si>
  <si>
    <t>Puricha</t>
  </si>
  <si>
    <t>Somboon</t>
  </si>
  <si>
    <t>083-8472098</t>
  </si>
  <si>
    <t>ทดแทนวิโจรน์ ลุงมูลที่ออก</t>
  </si>
  <si>
    <t>TTTV3972</t>
  </si>
  <si>
    <t>ณัฐพงษ์</t>
  </si>
  <si>
    <t xml:space="preserve">เต็มจิตร </t>
  </si>
  <si>
    <t>Nattapong</t>
  </si>
  <si>
    <t>Temchit</t>
  </si>
  <si>
    <t>099-0019408</t>
  </si>
  <si>
    <t>TTTV3978</t>
  </si>
  <si>
    <t>กนกวรรณ</t>
  </si>
  <si>
    <t>Kanokwan</t>
  </si>
  <si>
    <t>TTTV3979</t>
  </si>
  <si>
    <t>พุทธิพงศ์</t>
  </si>
  <si>
    <t>เคนตี</t>
  </si>
  <si>
    <t>Phuttipong</t>
  </si>
  <si>
    <t>Khentee</t>
  </si>
  <si>
    <t>082-2361276</t>
  </si>
  <si>
    <t>092-7573650</t>
  </si>
  <si>
    <t>ทดแทนศดานันท์ เสนานิคม ที่ออก</t>
  </si>
  <si>
    <t>ทดแทนพนธกร พลจันทึก ที่ออก</t>
  </si>
  <si>
    <t>คูรัมย์</t>
  </si>
  <si>
    <t>Thawatchai</t>
  </si>
  <si>
    <t>Khoorum</t>
  </si>
  <si>
    <t>096-3835203</t>
  </si>
  <si>
    <t>ทดแทนคงศักดิ์ สาธร ที่ออก</t>
  </si>
  <si>
    <t>TTTV3980</t>
  </si>
  <si>
    <t>ทดแทนธีระศักดิ์ บุญค้ำ ที่ออก</t>
  </si>
  <si>
    <t>TTTV3981</t>
  </si>
  <si>
    <t>TTTV3982</t>
  </si>
  <si>
    <t>จิรภัทร</t>
  </si>
  <si>
    <t>น้อยตา</t>
  </si>
  <si>
    <t>อนาวิล</t>
  </si>
  <si>
    <t>เชนรัมย์</t>
  </si>
  <si>
    <t>Noyta</t>
  </si>
  <si>
    <t>Anawin</t>
  </si>
  <si>
    <t>Chenram</t>
  </si>
  <si>
    <t>094-3763440</t>
  </si>
  <si>
    <t>062-7147215</t>
  </si>
  <si>
    <t>ทดแทนอัมรินทร์ สายบุตร ที่ออก</t>
  </si>
  <si>
    <t>ทดแทนณัฐพงษ์ ตระกูลพงษ์ ที่ออก</t>
  </si>
  <si>
    <t>แทนเอกรัตน์ ขัติยวงษ์ ที่ออก,ปรับ Truck control&amp;Inplant วันที่ 01-05-26</t>
  </si>
  <si>
    <t>TTTV3983</t>
  </si>
  <si>
    <t>พิศุทธิ์</t>
  </si>
  <si>
    <t>กล้าเชี่ยว</t>
  </si>
  <si>
    <t>สุรศักดิ์</t>
  </si>
  <si>
    <t>นกใหญ่</t>
  </si>
  <si>
    <t>TTTV3984</t>
  </si>
  <si>
    <t>Pisut</t>
  </si>
  <si>
    <t>Klachiaw</t>
  </si>
  <si>
    <t>Surasak</t>
  </si>
  <si>
    <t>Nokyai</t>
  </si>
  <si>
    <t>064-9161101</t>
  </si>
  <si>
    <t>094-3099019</t>
  </si>
  <si>
    <t>ทดแทนศุภกร หารรัตน์ ที่ออก</t>
  </si>
  <si>
    <t>ทดแทนพีระศักดิ์ ผิวพรรณ ที่ออก</t>
  </si>
  <si>
    <t>จีระวัฒน์</t>
  </si>
  <si>
    <t>แพนไธสงค์</t>
  </si>
  <si>
    <t>Jeerawat</t>
  </si>
  <si>
    <t>Phaenthaisong</t>
  </si>
  <si>
    <t>ทดแทนปรมัตถ์  พิมพ์ทอง ที่ออก</t>
  </si>
  <si>
    <t>TQS00122</t>
  </si>
  <si>
    <t>TTTV3987</t>
  </si>
  <si>
    <t>หมุ่นตัง</t>
  </si>
  <si>
    <t>Muntang</t>
  </si>
  <si>
    <t>061-8571290</t>
  </si>
  <si>
    <t>ทดแทนธันวา ลำแก้ว ที่ปรับ Truck control&amp;Inplant แทน กิตติธัช เคยชินที่ออก</t>
  </si>
  <si>
    <t>ยุทธภูมิ</t>
  </si>
  <si>
    <t>ผำนอก</t>
  </si>
  <si>
    <t>Yutthaphum</t>
  </si>
  <si>
    <t>Phamnok</t>
  </si>
  <si>
    <t>065-0185016</t>
  </si>
  <si>
    <t>ทดแทนธนบูรณ์ โกเมนที่ปรับตำแหน่ง 1-6-26 แทนองอาจ ศรีฟ้าที่ออก</t>
  </si>
  <si>
    <t>TTTV3990</t>
  </si>
  <si>
    <t>TTTV3991</t>
  </si>
  <si>
    <t>เพชรอิศรา</t>
  </si>
  <si>
    <t>เสน่หา</t>
  </si>
  <si>
    <t>Phet itsara</t>
  </si>
  <si>
    <t>Saneha</t>
  </si>
  <si>
    <t>064-4865699</t>
  </si>
  <si>
    <t>ทดแทนบัณฑิตา โพธิ์พาด ที่ออก</t>
  </si>
  <si>
    <t>TTTV3994</t>
  </si>
  <si>
    <t>ปรับจาก QA  เป็น Data วันที่ 01-07-26 ทดแทนบุษบา  ทองนาค ที่ลาออก</t>
  </si>
  <si>
    <t>063-5150850</t>
  </si>
  <si>
    <t>TQS00138</t>
  </si>
  <si>
    <t>สุนารี</t>
  </si>
  <si>
    <t>ฤกษ์ศรี</t>
  </si>
  <si>
    <t>ทดแทนนางสาวอรทัย อาชินรัมย์  ที่โปรโมท เป็น Data &amp; lnventory Controller</t>
  </si>
  <si>
    <t>Sunaree</t>
  </si>
  <si>
    <t>Largsee</t>
  </si>
  <si>
    <t>สีหราช</t>
  </si>
  <si>
    <t>บำรุงแคว้น</t>
  </si>
  <si>
    <t>061-5706838</t>
  </si>
  <si>
    <t>ทดแทนสุริยา คงทรัพย์ ที่ออก 19-05-26</t>
  </si>
  <si>
    <t>Seeharat</t>
  </si>
  <si>
    <t>Bamrungkwaen</t>
  </si>
  <si>
    <t>TTTV3997</t>
  </si>
  <si>
    <t>QA Supervisor</t>
  </si>
  <si>
    <t>Acting QA Supervisor</t>
  </si>
  <si>
    <t>ปรับ ตำแหน่งTruck control&amp;Inplant   01-06-26,Acting QA Supervisor เริ่ม 01-07-26</t>
  </si>
  <si>
    <t>Truck Control &amp; Inplant</t>
  </si>
  <si>
    <t>General Manager</t>
  </si>
  <si>
    <t>Data Inventory</t>
  </si>
  <si>
    <t>Administration</t>
  </si>
  <si>
    <t>Operative Maintenance</t>
  </si>
  <si>
    <t>Operation Manager</t>
  </si>
  <si>
    <t>CRM Supervisor</t>
  </si>
  <si>
    <t>CRM Officer</t>
  </si>
  <si>
    <t>Operative QA</t>
  </si>
  <si>
    <t>TTTV4004</t>
  </si>
  <si>
    <t>ลุค</t>
  </si>
  <si>
    <t>ภูวรินธร</t>
  </si>
  <si>
    <t>Luke</t>
  </si>
  <si>
    <t>Phuwarinthorn</t>
  </si>
  <si>
    <t>081-1256507</t>
  </si>
  <si>
    <t>ทดแทน สุธิดา  คำพันธ์ ตั้งครรภ์ ชัวคราว 10 เดือน</t>
  </si>
  <si>
    <t>ย้ายมาจาก cic 01-07-23,ย้ายไป cic  01-07-26</t>
  </si>
  <si>
    <t>ทดแทนทัศวุฒิ ถือคุณ ที่ออก, ปรับตำแหน่ง Truck Control &amp; Inplant   01-08-26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</si>
</sst>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107041E]d\ mmm\ yy;@"/>
    <numFmt numFmtId="165" formatCode="[$-1000000]0\ 0000\ 00000\ 00\ 0"/>
    <numFmt numFmtId="166" formatCode="[$-1070000]d/mm/yyyy;@"/>
    <numFmt numFmtId="167" formatCode="[$-C09]dd/mmm/yy;@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sz val="10"/>
      <color indexed="8"/>
      <name val="MS Sans Serif"/>
      <family val="2"/>
      <charset val="222"/>
    </font>
    <font>
      <b/>
      <sz val="16"/>
      <color theme="1"/>
      <name val="Angsana New"/>
      <family val="1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charset val="222"/>
    </font>
    <font>
      <sz val="11"/>
      <color rgb="FF3F3F76"/>
      <name val="Calibri"/>
      <family val="2"/>
      <scheme val="minor"/>
    </font>
    <font>
      <sz val="14"/>
      <name val="Cordia New"/>
      <family val="2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MS Sans Serif"/>
      <family val="2"/>
      <charset val="222"/>
    </font>
    <font>
      <sz val="10"/>
      <color theme="1"/>
      <name val="Tahoma"/>
      <family val="2"/>
      <charset val="222"/>
    </font>
    <font>
      <b/>
      <sz val="11"/>
      <color rgb="FF3F3F3F"/>
      <name val="Calibri"/>
      <family val="2"/>
      <scheme val="minor"/>
    </font>
    <font>
      <sz val="12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4"/>
      <name val="Angsana New"/>
      <family val="1"/>
    </font>
    <font>
      <sz val="15"/>
      <color theme="1"/>
      <name val="Angsana New"/>
      <family val="1"/>
    </font>
    <font>
      <b/>
      <u/>
      <sz val="16"/>
      <name val="Angsana New"/>
      <family val="1"/>
    </font>
    <font>
      <b/>
      <u/>
      <sz val="18"/>
      <name val="Angsana New"/>
      <family val="1"/>
    </font>
    <font>
      <b/>
      <u/>
      <sz val="14"/>
      <name val="Angsana New"/>
      <family val="1"/>
    </font>
    <font>
      <b/>
      <sz val="14"/>
      <color theme="0"/>
      <name val="Angsana New"/>
      <family val="1"/>
    </font>
    <font>
      <sz val="16"/>
      <color rgb="FF0000FF"/>
      <name val="Angsana New"/>
      <family val="1"/>
    </font>
    <font>
      <b/>
      <sz val="16"/>
      <name val="Angsana New"/>
      <family val="1"/>
    </font>
    <font>
      <sz val="11"/>
      <name val="Angsana New"/>
      <family val="1"/>
    </font>
    <font>
      <b/>
      <sz val="14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BF57A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</borders>
  <cellStyleXfs count="123">
    <xf numFmtId="0" fontId="0" fillId="0" borderId="0"/>
    <xf numFmtId="0" fontId="3" fillId="0" borderId="0"/>
    <xf numFmtId="0" fontId="6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0" fillId="6" borderId="4" applyNumberFormat="0" applyAlignment="0" applyProtection="0"/>
    <xf numFmtId="0" fontId="10" fillId="6" borderId="4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4" fillId="0" borderId="1" applyNumberFormat="0" applyFill="0" applyAlignment="0" applyProtection="0"/>
    <xf numFmtId="0" fontId="14" fillId="0" borderId="1" applyNumberFormat="0" applyFill="0" applyAlignment="0" applyProtection="0"/>
    <xf numFmtId="0" fontId="15" fillId="0" borderId="2" applyNumberFormat="0" applyFill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5" borderId="4" applyNumberFormat="0" applyAlignment="0" applyProtection="0"/>
    <xf numFmtId="0" fontId="18" fillId="5" borderId="4" applyNumberFormat="0" applyAlignment="0" applyProtection="0"/>
    <xf numFmtId="0" fontId="19" fillId="0" borderId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2" fillId="0" borderId="0"/>
    <xf numFmtId="0" fontId="22" fillId="0" borderId="0"/>
    <xf numFmtId="0" fontId="6" fillId="0" borderId="0"/>
    <xf numFmtId="0" fontId="3" fillId="0" borderId="0"/>
    <xf numFmtId="0" fontId="3" fillId="0" borderId="0"/>
    <xf numFmtId="0" fontId="2" fillId="0" borderId="0"/>
    <xf numFmtId="0" fontId="19" fillId="0" borderId="0"/>
    <xf numFmtId="0" fontId="19" fillId="0" borderId="0"/>
    <xf numFmtId="0" fontId="1" fillId="0" borderId="0"/>
    <xf numFmtId="0" fontId="3" fillId="0" borderId="0"/>
    <xf numFmtId="0" fontId="19" fillId="0" borderId="0"/>
    <xf numFmtId="0" fontId="19" fillId="0" borderId="0"/>
    <xf numFmtId="0" fontId="1" fillId="0" borderId="0"/>
    <xf numFmtId="0" fontId="2" fillId="0" borderId="0"/>
    <xf numFmtId="0" fontId="23" fillId="0" borderId="0"/>
    <xf numFmtId="0" fontId="2" fillId="0" borderId="0"/>
    <xf numFmtId="0" fontId="1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4" fillId="6" borderId="5" applyNumberFormat="0" applyAlignment="0" applyProtection="0"/>
    <xf numFmtId="0" fontId="24" fillId="6" borderId="5" applyNumberFormat="0" applyAlignment="0" applyProtection="0"/>
    <xf numFmtId="9" fontId="3" fillId="0" borderId="0" applyFont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9" fillId="0" borderId="0"/>
    <xf numFmtId="0" fontId="19" fillId="0" borderId="0"/>
    <xf numFmtId="0" fontId="1" fillId="0" borderId="0"/>
    <xf numFmtId="9" fontId="2" fillId="0" borderId="0" applyFont="0" applyFill="0" applyBorder="0" applyAlignment="0" applyProtection="0"/>
    <xf numFmtId="167" fontId="3" fillId="0" borderId="0"/>
    <xf numFmtId="167" fontId="3" fillId="0" borderId="0"/>
  </cellStyleXfs>
  <cellXfs count="187">
    <xf numFmtId="0" fontId="0" fillId="0" borderId="0" xfId="0"/>
    <xf numFmtId="0" fontId="4" fillId="0" borderId="10" xfId="1" applyFont="1" applyBorder="1" applyAlignment="1">
      <alignment horizontal="center" vertical="center"/>
    </xf>
    <xf numFmtId="164" fontId="4" fillId="0" borderId="10" xfId="1" applyNumberFormat="1" applyFont="1" applyBorder="1" applyAlignment="1">
      <alignment horizontal="center" vertical="center"/>
    </xf>
    <xf numFmtId="165" fontId="4" fillId="0" borderId="10" xfId="1" applyNumberFormat="1" applyFont="1" applyBorder="1" applyAlignment="1">
      <alignment horizontal="center" vertical="center"/>
    </xf>
    <xf numFmtId="164" fontId="4" fillId="0" borderId="10" xfId="1" applyNumberFormat="1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33" borderId="10" xfId="1" applyFont="1" applyFill="1" applyBorder="1" applyAlignment="1">
      <alignment horizontal="left" vertical="center"/>
    </xf>
    <xf numFmtId="165" fontId="4" fillId="0" borderId="10" xfId="1" applyNumberFormat="1" applyFont="1" applyBorder="1" applyAlignment="1">
      <alignment horizontal="left" vertical="center"/>
    </xf>
    <xf numFmtId="1" fontId="4" fillId="0" borderId="10" xfId="1" applyNumberFormat="1" applyFont="1" applyBorder="1" applyAlignment="1">
      <alignment vertical="center"/>
    </xf>
    <xf numFmtId="0" fontId="4" fillId="0" borderId="10" xfId="2" applyFont="1" applyBorder="1" applyAlignment="1">
      <alignment horizontal="center" vertical="center"/>
    </xf>
    <xf numFmtId="0" fontId="5" fillId="33" borderId="10" xfId="1" applyFont="1" applyFill="1" applyBorder="1" applyAlignment="1">
      <alignment horizontal="center" vertical="center"/>
    </xf>
    <xf numFmtId="164" fontId="4" fillId="33" borderId="10" xfId="1" applyNumberFormat="1" applyFont="1" applyFill="1" applyBorder="1" applyAlignment="1">
      <alignment horizontal="center" vertical="center"/>
    </xf>
    <xf numFmtId="165" fontId="4" fillId="33" borderId="10" xfId="1" applyNumberFormat="1" applyFont="1" applyFill="1" applyBorder="1" applyAlignment="1">
      <alignment horizontal="center" vertical="center"/>
    </xf>
    <xf numFmtId="0" fontId="5" fillId="33" borderId="10" xfId="1" applyFont="1" applyFill="1" applyBorder="1" applyAlignment="1">
      <alignment horizontal="left" vertical="center"/>
    </xf>
    <xf numFmtId="0" fontId="7" fillId="34" borderId="11" xfId="1" applyFont="1" applyFill="1" applyBorder="1" applyAlignment="1">
      <alignment horizontal="center" vertical="center"/>
    </xf>
    <xf numFmtId="164" fontId="7" fillId="34" borderId="11" xfId="1" applyNumberFormat="1" applyFont="1" applyFill="1" applyBorder="1" applyAlignment="1">
      <alignment horizontal="center" vertical="center" wrapText="1"/>
    </xf>
    <xf numFmtId="164" fontId="7" fillId="34" borderId="11" xfId="1" applyNumberFormat="1" applyFont="1" applyFill="1" applyBorder="1" applyAlignment="1">
      <alignment horizontal="center" vertical="center"/>
    </xf>
    <xf numFmtId="166" fontId="7" fillId="34" borderId="11" xfId="1" applyNumberFormat="1" applyFont="1" applyFill="1" applyBorder="1" applyAlignment="1">
      <alignment horizontal="center" vertical="center"/>
    </xf>
    <xf numFmtId="0" fontId="7" fillId="34" borderId="1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35" borderId="10" xfId="0" applyFont="1" applyFill="1" applyBorder="1" applyAlignment="1">
      <alignment horizontal="center" vertical="center"/>
    </xf>
    <xf numFmtId="38" fontId="4" fillId="0" borderId="10" xfId="0" applyNumberFormat="1" applyFont="1" applyBorder="1" applyAlignment="1">
      <alignment vertical="center"/>
    </xf>
    <xf numFmtId="9" fontId="4" fillId="0" borderId="10" xfId="120" applyFont="1" applyBorder="1" applyAlignment="1">
      <alignment vertical="center"/>
    </xf>
    <xf numFmtId="38" fontId="5" fillId="35" borderId="10" xfId="0" applyNumberFormat="1" applyFont="1" applyFill="1" applyBorder="1" applyAlignment="1">
      <alignment vertical="center"/>
    </xf>
    <xf numFmtId="9" fontId="5" fillId="35" borderId="10" xfId="0" applyNumberFormat="1" applyFont="1" applyFill="1" applyBorder="1" applyAlignment="1">
      <alignment vertical="center"/>
    </xf>
    <xf numFmtId="166" fontId="5" fillId="34" borderId="10" xfId="1" applyNumberFormat="1" applyFont="1" applyFill="1" applyBorder="1" applyAlignment="1">
      <alignment horizontal="center" vertical="center"/>
    </xf>
    <xf numFmtId="0" fontId="5" fillId="34" borderId="11" xfId="1" applyFont="1" applyFill="1" applyBorder="1" applyAlignment="1">
      <alignment horizontal="left" vertical="center"/>
    </xf>
    <xf numFmtId="0" fontId="0" fillId="0" borderId="0" xfId="0" pivotButton="1"/>
    <xf numFmtId="38" fontId="5" fillId="0" borderId="0" xfId="0" applyNumberFormat="1" applyFont="1" applyAlignment="1">
      <alignment horizontal="right" vertical="center"/>
    </xf>
    <xf numFmtId="9" fontId="4" fillId="0" borderId="0" xfId="120" applyFont="1" applyAlignment="1">
      <alignment vertical="center"/>
    </xf>
    <xf numFmtId="164" fontId="4" fillId="36" borderId="10" xfId="1" applyNumberFormat="1" applyFont="1" applyFill="1" applyBorder="1" applyAlignment="1">
      <alignment horizontal="left" vertical="center"/>
    </xf>
    <xf numFmtId="0" fontId="4" fillId="36" borderId="10" xfId="1" applyFont="1" applyFill="1" applyBorder="1" applyAlignment="1">
      <alignment horizontal="left" vertical="center"/>
    </xf>
    <xf numFmtId="0" fontId="4" fillId="36" borderId="10" xfId="1" applyFont="1" applyFill="1" applyBorder="1" applyAlignment="1">
      <alignment horizontal="center" vertical="center"/>
    </xf>
    <xf numFmtId="164" fontId="4" fillId="36" borderId="10" xfId="1" applyNumberFormat="1" applyFont="1" applyFill="1" applyBorder="1" applyAlignment="1">
      <alignment horizontal="center" vertical="center"/>
    </xf>
    <xf numFmtId="0" fontId="5" fillId="36" borderId="10" xfId="1" applyFont="1" applyFill="1" applyBorder="1" applyAlignment="1">
      <alignment horizontal="left" vertical="center"/>
    </xf>
    <xf numFmtId="1" fontId="4" fillId="36" borderId="10" xfId="1" applyNumberFormat="1" applyFont="1" applyFill="1" applyBorder="1" applyAlignment="1">
      <alignment vertical="center"/>
    </xf>
    <xf numFmtId="165" fontId="4" fillId="36" borderId="10" xfId="1" applyNumberFormat="1" applyFont="1" applyFill="1" applyBorder="1" applyAlignment="1">
      <alignment horizontal="left" vertical="center"/>
    </xf>
    <xf numFmtId="0" fontId="4" fillId="36" borderId="10" xfId="2" applyFont="1" applyFill="1" applyBorder="1" applyAlignment="1">
      <alignment horizontal="center" vertical="center"/>
    </xf>
    <xf numFmtId="0" fontId="5" fillId="36" borderId="10" xfId="1" applyFont="1" applyFill="1" applyBorder="1" applyAlignment="1">
      <alignment horizontal="center" vertical="center"/>
    </xf>
    <xf numFmtId="38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30" fillId="33" borderId="10" xfId="1" applyFont="1" applyFill="1" applyBorder="1" applyAlignment="1">
      <alignment horizontal="left" vertical="center"/>
    </xf>
    <xf numFmtId="0" fontId="31" fillId="33" borderId="10" xfId="1" applyFont="1" applyFill="1" applyBorder="1" applyAlignment="1">
      <alignment horizontal="left" vertical="center"/>
    </xf>
    <xf numFmtId="0" fontId="30" fillId="0" borderId="0" xfId="0" applyFont="1" applyAlignment="1">
      <alignment vertical="center"/>
    </xf>
    <xf numFmtId="0" fontId="30" fillId="33" borderId="10" xfId="0" applyFont="1" applyFill="1" applyBorder="1" applyAlignment="1">
      <alignment horizontal="left" vertical="center"/>
    </xf>
    <xf numFmtId="0" fontId="31" fillId="33" borderId="10" xfId="0" applyFont="1" applyFill="1" applyBorder="1" applyAlignment="1">
      <alignment horizontal="left" vertical="center"/>
    </xf>
    <xf numFmtId="0" fontId="30" fillId="0" borderId="10" xfId="0" applyFont="1" applyBorder="1" applyAlignment="1">
      <alignment horizontal="left" vertical="center"/>
    </xf>
    <xf numFmtId="1" fontId="30" fillId="33" borderId="10" xfId="1" applyNumberFormat="1" applyFont="1" applyFill="1" applyBorder="1" applyAlignment="1">
      <alignment horizontal="left" vertical="center"/>
    </xf>
    <xf numFmtId="164" fontId="31" fillId="33" borderId="10" xfId="1" applyNumberFormat="1" applyFont="1" applyFill="1" applyBorder="1" applyAlignment="1" applyProtection="1">
      <alignment horizontal="left" vertical="center"/>
      <protection locked="0"/>
    </xf>
    <xf numFmtId="164" fontId="30" fillId="33" borderId="10" xfId="1" applyNumberFormat="1" applyFont="1" applyFill="1" applyBorder="1" applyAlignment="1" applyProtection="1">
      <alignment horizontal="left" vertical="center"/>
      <protection locked="0"/>
    </xf>
    <xf numFmtId="165" fontId="30" fillId="33" borderId="15" xfId="1" applyNumberFormat="1" applyFont="1" applyFill="1" applyBorder="1" applyAlignment="1">
      <alignment horizontal="left" vertical="center"/>
    </xf>
    <xf numFmtId="0" fontId="30" fillId="37" borderId="10" xfId="0" applyFont="1" applyFill="1" applyBorder="1" applyAlignment="1">
      <alignment horizontal="left" vertical="center"/>
    </xf>
    <xf numFmtId="165" fontId="31" fillId="37" borderId="10" xfId="1" applyNumberFormat="1" applyFont="1" applyFill="1" applyBorder="1" applyAlignment="1" applyProtection="1">
      <alignment horizontal="left" vertical="center"/>
      <protection locked="0"/>
    </xf>
    <xf numFmtId="0" fontId="31" fillId="37" borderId="10" xfId="0" applyFont="1" applyFill="1" applyBorder="1" applyAlignment="1">
      <alignment horizontal="left" vertical="center"/>
    </xf>
    <xf numFmtId="0" fontId="30" fillId="33" borderId="11" xfId="0" applyFont="1" applyFill="1" applyBorder="1" applyAlignment="1">
      <alignment horizontal="left" vertical="center"/>
    </xf>
    <xf numFmtId="164" fontId="30" fillId="36" borderId="10" xfId="1" applyNumberFormat="1" applyFont="1" applyFill="1" applyBorder="1" applyAlignment="1" applyProtection="1">
      <alignment horizontal="left" vertical="center"/>
      <protection locked="0"/>
    </xf>
    <xf numFmtId="0" fontId="30" fillId="36" borderId="10" xfId="1" applyFont="1" applyFill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0" fillId="0" borderId="10" xfId="0" applyBorder="1"/>
    <xf numFmtId="0" fontId="4" fillId="0" borderId="10" xfId="1" applyFont="1" applyBorder="1" applyAlignment="1">
      <alignment horizontal="left" vertical="center"/>
    </xf>
    <xf numFmtId="164" fontId="4" fillId="33" borderId="10" xfId="1" applyNumberFormat="1" applyFont="1" applyFill="1" applyBorder="1" applyAlignment="1" applyProtection="1">
      <alignment horizontal="left" vertical="center"/>
      <protection locked="0"/>
    </xf>
    <xf numFmtId="0" fontId="4" fillId="33" borderId="10" xfId="0" applyFont="1" applyFill="1" applyBorder="1" applyAlignment="1">
      <alignment horizontal="left" vertical="center"/>
    </xf>
    <xf numFmtId="0" fontId="34" fillId="33" borderId="10" xfId="0" applyFont="1" applyFill="1" applyBorder="1" applyAlignment="1">
      <alignment horizontal="left" vertical="center"/>
    </xf>
    <xf numFmtId="1" fontId="4" fillId="33" borderId="10" xfId="1" quotePrefix="1" applyNumberFormat="1" applyFont="1" applyFill="1" applyBorder="1" applyAlignment="1">
      <alignment horizontal="left" vertical="center"/>
    </xf>
    <xf numFmtId="0" fontId="34" fillId="33" borderId="10" xfId="1" applyFont="1" applyFill="1" applyBorder="1" applyAlignment="1">
      <alignment horizontal="left" vertical="center"/>
    </xf>
    <xf numFmtId="0" fontId="4" fillId="0" borderId="10" xfId="2" applyFont="1" applyBorder="1" applyAlignment="1">
      <alignment horizontal="left" vertical="center"/>
    </xf>
    <xf numFmtId="0" fontId="34" fillId="0" borderId="10" xfId="1" applyFont="1" applyBorder="1" applyAlignment="1">
      <alignment horizontal="left" vertical="center"/>
    </xf>
    <xf numFmtId="0" fontId="4" fillId="33" borderId="10" xfId="2" applyFont="1" applyFill="1" applyBorder="1" applyAlignment="1">
      <alignment horizontal="left" vertical="center"/>
    </xf>
    <xf numFmtId="164" fontId="4" fillId="33" borderId="10" xfId="1" applyNumberFormat="1" applyFont="1" applyFill="1" applyBorder="1" applyAlignment="1">
      <alignment horizontal="left" vertical="center"/>
    </xf>
    <xf numFmtId="165" fontId="34" fillId="33" borderId="10" xfId="1" quotePrefix="1" applyNumberFormat="1" applyFont="1" applyFill="1" applyBorder="1" applyAlignment="1">
      <alignment horizontal="left" vertical="center"/>
    </xf>
    <xf numFmtId="164" fontId="34" fillId="33" borderId="10" xfId="1" applyNumberFormat="1" applyFont="1" applyFill="1" applyBorder="1" applyAlignment="1" applyProtection="1">
      <alignment horizontal="left" vertical="center"/>
      <protection locked="0"/>
    </xf>
    <xf numFmtId="165" fontId="4" fillId="33" borderId="10" xfId="1" applyNumberFormat="1" applyFont="1" applyFill="1" applyBorder="1" applyAlignment="1">
      <alignment horizontal="left" vertical="center"/>
    </xf>
    <xf numFmtId="165" fontId="34" fillId="33" borderId="10" xfId="1" applyNumberFormat="1" applyFont="1" applyFill="1" applyBorder="1" applyAlignment="1">
      <alignment horizontal="left" vertical="center"/>
    </xf>
    <xf numFmtId="165" fontId="34" fillId="0" borderId="10" xfId="1" applyNumberFormat="1" applyFont="1" applyBorder="1" applyAlignment="1">
      <alignment horizontal="left" vertical="center"/>
    </xf>
    <xf numFmtId="164" fontId="34" fillId="0" borderId="10" xfId="1" applyNumberFormat="1" applyFont="1" applyBorder="1" applyAlignment="1" applyProtection="1">
      <alignment horizontal="left" vertical="center"/>
      <protection locked="0"/>
    </xf>
    <xf numFmtId="164" fontId="34" fillId="33" borderId="10" xfId="1" applyNumberFormat="1" applyFont="1" applyFill="1" applyBorder="1" applyAlignment="1">
      <alignment horizontal="left" vertical="center"/>
    </xf>
    <xf numFmtId="0" fontId="4" fillId="33" borderId="15" xfId="2" applyFont="1" applyFill="1" applyBorder="1" applyAlignment="1">
      <alignment horizontal="left" vertical="center"/>
    </xf>
    <xf numFmtId="0" fontId="4" fillId="33" borderId="11" xfId="1" applyFont="1" applyFill="1" applyBorder="1" applyAlignment="1">
      <alignment horizontal="left" vertical="center"/>
    </xf>
    <xf numFmtId="167" fontId="34" fillId="33" borderId="10" xfId="121" applyFont="1" applyFill="1" applyBorder="1" applyAlignment="1">
      <alignment horizontal="left" vertical="center"/>
    </xf>
    <xf numFmtId="165" fontId="34" fillId="33" borderId="10" xfId="1" applyNumberFormat="1" applyFont="1" applyFill="1" applyBorder="1" applyAlignment="1" applyProtection="1">
      <alignment horizontal="left" vertical="center"/>
      <protection locked="0"/>
    </xf>
    <xf numFmtId="164" fontId="34" fillId="33" borderId="11" xfId="1" applyNumberFormat="1" applyFont="1" applyFill="1" applyBorder="1" applyAlignment="1" applyProtection="1">
      <alignment horizontal="left" vertical="center"/>
      <protection locked="0"/>
    </xf>
    <xf numFmtId="164" fontId="34" fillId="33" borderId="0" xfId="1" applyNumberFormat="1" applyFont="1" applyFill="1" applyAlignment="1" applyProtection="1">
      <alignment horizontal="left" vertical="center"/>
      <protection locked="0"/>
    </xf>
    <xf numFmtId="165" fontId="34" fillId="33" borderId="12" xfId="1" applyNumberFormat="1" applyFont="1" applyFill="1" applyBorder="1" applyAlignment="1">
      <alignment horizontal="left" vertical="center"/>
    </xf>
    <xf numFmtId="165" fontId="34" fillId="33" borderId="11" xfId="1" applyNumberFormat="1" applyFont="1" applyFill="1" applyBorder="1" applyAlignment="1">
      <alignment horizontal="left" vertical="center"/>
    </xf>
    <xf numFmtId="164" fontId="4" fillId="33" borderId="11" xfId="1" applyNumberFormat="1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33" borderId="15" xfId="1" applyFont="1" applyFill="1" applyBorder="1" applyAlignment="1">
      <alignment horizontal="left" vertical="center"/>
    </xf>
    <xf numFmtId="164" fontId="34" fillId="33" borderId="15" xfId="1" applyNumberFormat="1" applyFont="1" applyFill="1" applyBorder="1" applyAlignment="1" applyProtection="1">
      <alignment horizontal="left" vertical="center"/>
      <protection locked="0"/>
    </xf>
    <xf numFmtId="164" fontId="4" fillId="33" borderId="15" xfId="1" applyNumberFormat="1" applyFont="1" applyFill="1" applyBorder="1" applyAlignment="1" applyProtection="1">
      <alignment horizontal="left" vertical="center"/>
      <protection locked="0"/>
    </xf>
    <xf numFmtId="0" fontId="4" fillId="33" borderId="15" xfId="0" applyFont="1" applyFill="1" applyBorder="1" applyAlignment="1">
      <alignment horizontal="left" vertical="center"/>
    </xf>
    <xf numFmtId="165" fontId="34" fillId="33" borderId="15" xfId="1" applyNumberFormat="1" applyFont="1" applyFill="1" applyBorder="1" applyAlignment="1">
      <alignment horizontal="left" vertical="center"/>
    </xf>
    <xf numFmtId="0" fontId="4" fillId="33" borderId="10" xfId="1" quotePrefix="1" applyFont="1" applyFill="1" applyBorder="1" applyAlignment="1">
      <alignment horizontal="left" vertical="center"/>
    </xf>
    <xf numFmtId="1" fontId="4" fillId="33" borderId="10" xfId="1" applyNumberFormat="1" applyFont="1" applyFill="1" applyBorder="1" applyAlignment="1">
      <alignment horizontal="left" vertical="center"/>
    </xf>
    <xf numFmtId="0" fontId="34" fillId="0" borderId="10" xfId="0" applyFont="1" applyBorder="1" applyAlignment="1">
      <alignment horizontal="left" vertical="center"/>
    </xf>
    <xf numFmtId="164" fontId="34" fillId="0" borderId="10" xfId="1" applyNumberFormat="1" applyFont="1" applyBorder="1" applyAlignment="1" applyProtection="1">
      <alignment horizontal="left" vertical="center" shrinkToFit="1"/>
      <protection locked="0"/>
    </xf>
    <xf numFmtId="0" fontId="35" fillId="0" borderId="0" xfId="0" applyFont="1" applyAlignment="1">
      <alignment vertical="center"/>
    </xf>
    <xf numFmtId="165" fontId="34" fillId="0" borderId="15" xfId="1" applyNumberFormat="1" applyFont="1" applyBorder="1" applyAlignment="1">
      <alignment horizontal="left" vertical="center"/>
    </xf>
    <xf numFmtId="0" fontId="4" fillId="33" borderId="16" xfId="0" applyFont="1" applyFill="1" applyBorder="1" applyAlignment="1">
      <alignment horizontal="left" vertical="center"/>
    </xf>
    <xf numFmtId="0" fontId="5" fillId="39" borderId="10" xfId="1" applyFont="1" applyFill="1" applyBorder="1" applyAlignment="1">
      <alignment horizontal="center" vertical="center" wrapText="1"/>
    </xf>
    <xf numFmtId="166" fontId="5" fillId="39" borderId="10" xfId="1" applyNumberFormat="1" applyFont="1" applyFill="1" applyBorder="1" applyAlignment="1">
      <alignment horizontal="center" vertical="center"/>
    </xf>
    <xf numFmtId="166" fontId="5" fillId="39" borderId="10" xfId="1" applyNumberFormat="1" applyFont="1" applyFill="1" applyBorder="1" applyAlignment="1">
      <alignment horizontal="left" vertical="center"/>
    </xf>
    <xf numFmtId="0" fontId="5" fillId="39" borderId="10" xfId="1" applyFont="1" applyFill="1" applyBorder="1" applyAlignment="1">
      <alignment horizontal="center" vertical="center"/>
    </xf>
    <xf numFmtId="0" fontId="0" fillId="39" borderId="10" xfId="1" applyFont="1" applyFill="1" applyBorder="1" applyAlignment="1">
      <alignment horizontal="center" vertical="center"/>
    </xf>
    <xf numFmtId="0" fontId="5" fillId="39" borderId="10" xfId="1" applyFont="1" applyFill="1" applyBorder="1" applyAlignment="1">
      <alignment vertical="center"/>
    </xf>
    <xf numFmtId="0" fontId="5" fillId="39" borderId="10" xfId="1" applyFont="1" applyFill="1" applyBorder="1" applyAlignment="1">
      <alignment horizontal="left" vertical="center"/>
    </xf>
    <xf numFmtId="0" fontId="5" fillId="39" borderId="11" xfId="1" applyFont="1" applyFill="1" applyBorder="1" applyAlignment="1">
      <alignment horizontal="left" vertical="center"/>
    </xf>
    <xf numFmtId="0" fontId="5" fillId="39" borderId="11" xfId="1" applyFont="1" applyFill="1" applyBorder="1" applyAlignment="1">
      <alignment horizontal="center" vertical="center"/>
    </xf>
    <xf numFmtId="164" fontId="5" fillId="39" borderId="11" xfId="1" applyNumberFormat="1" applyFont="1" applyFill="1" applyBorder="1" applyAlignment="1">
      <alignment horizontal="center" vertical="center"/>
    </xf>
    <xf numFmtId="164" fontId="5" fillId="39" borderId="11" xfId="1" applyNumberFormat="1" applyFont="1" applyFill="1" applyBorder="1" applyAlignment="1">
      <alignment horizontal="center" vertical="center" wrapText="1"/>
    </xf>
    <xf numFmtId="0" fontId="32" fillId="39" borderId="11" xfId="1" applyFont="1" applyFill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6" fillId="0" borderId="0" xfId="1" applyFont="1" applyAlignment="1">
      <alignment vertical="center"/>
    </xf>
    <xf numFmtId="0" fontId="37" fillId="0" borderId="0" xfId="1" applyFont="1" applyAlignment="1">
      <alignment horizontal="left" vertical="center" wrapText="1"/>
    </xf>
    <xf numFmtId="0" fontId="36" fillId="0" borderId="0" xfId="1" applyFont="1" applyAlignment="1">
      <alignment horizontal="left" vertical="center"/>
    </xf>
    <xf numFmtId="0" fontId="38" fillId="0" borderId="0" xfId="1" applyFont="1" applyAlignment="1">
      <alignment horizontal="center" vertical="center"/>
    </xf>
    <xf numFmtId="0" fontId="38" fillId="0" borderId="0" xfId="1" applyFont="1" applyAlignment="1">
      <alignment horizontal="left" vertical="center"/>
    </xf>
    <xf numFmtId="0" fontId="38" fillId="0" borderId="0" xfId="1" applyFont="1" applyAlignment="1">
      <alignment horizontal="center" vertical="center" shrinkToFit="1"/>
    </xf>
    <xf numFmtId="0" fontId="39" fillId="0" borderId="0" xfId="1" applyFont="1" applyAlignment="1">
      <alignment horizontal="center" vertical="center" shrinkToFit="1"/>
    </xf>
    <xf numFmtId="0" fontId="40" fillId="33" borderId="0" xfId="1" applyFont="1" applyFill="1" applyAlignment="1">
      <alignment horizontal="center" vertical="center"/>
    </xf>
    <xf numFmtId="0" fontId="34" fillId="33" borderId="0" xfId="1" applyFont="1" applyFill="1" applyAlignment="1">
      <alignment horizontal="center" vertical="center"/>
    </xf>
    <xf numFmtId="0" fontId="42" fillId="0" borderId="0" xfId="80" applyFont="1" applyAlignment="1">
      <alignment horizontal="center" vertical="center"/>
    </xf>
    <xf numFmtId="0" fontId="1" fillId="0" borderId="0" xfId="80"/>
    <xf numFmtId="0" fontId="7" fillId="39" borderId="11" xfId="1" applyFont="1" applyFill="1" applyBorder="1" applyAlignment="1">
      <alignment horizontal="center" vertical="center"/>
    </xf>
    <xf numFmtId="0" fontId="7" fillId="39" borderId="17" xfId="1" applyFont="1" applyFill="1" applyBorder="1" applyAlignment="1">
      <alignment horizontal="center" vertical="center"/>
    </xf>
    <xf numFmtId="0" fontId="7" fillId="39" borderId="17" xfId="1" applyFont="1" applyFill="1" applyBorder="1" applyAlignment="1">
      <alignment horizontal="center" vertical="center" shrinkToFit="1"/>
    </xf>
    <xf numFmtId="164" fontId="7" fillId="39" borderId="17" xfId="1" applyNumberFormat="1" applyFont="1" applyFill="1" applyBorder="1" applyAlignment="1">
      <alignment horizontal="center" vertical="center"/>
    </xf>
    <xf numFmtId="0" fontId="7" fillId="39" borderId="11" xfId="1" applyFont="1" applyFill="1" applyBorder="1" applyAlignment="1">
      <alignment horizontal="left" vertical="center"/>
    </xf>
    <xf numFmtId="0" fontId="5" fillId="39" borderId="17" xfId="1" applyFont="1" applyFill="1" applyBorder="1" applyAlignment="1">
      <alignment horizontal="center" vertical="center" shrinkToFit="1"/>
    </xf>
    <xf numFmtId="0" fontId="34" fillId="0" borderId="10" xfId="1" applyFont="1" applyBorder="1" applyAlignment="1">
      <alignment horizontal="left" vertical="center" shrinkToFit="1"/>
    </xf>
    <xf numFmtId="0" fontId="4" fillId="0" borderId="10" xfId="0" applyFont="1" applyBorder="1" applyAlignment="1">
      <alignment vertical="center"/>
    </xf>
    <xf numFmtId="0" fontId="4" fillId="33" borderId="10" xfId="0" applyFont="1" applyFill="1" applyBorder="1" applyAlignment="1">
      <alignment vertical="center"/>
    </xf>
    <xf numFmtId="165" fontId="4" fillId="33" borderId="15" xfId="1" applyNumberFormat="1" applyFont="1" applyFill="1" applyBorder="1" applyAlignment="1">
      <alignment horizontal="left" vertical="center"/>
    </xf>
    <xf numFmtId="0" fontId="43" fillId="38" borderId="21" xfId="0" applyFont="1" applyFill="1" applyBorder="1" applyAlignment="1">
      <alignment horizontal="center" vertical="center" wrapText="1"/>
    </xf>
    <xf numFmtId="0" fontId="0" fillId="33" borderId="10" xfId="0" applyFill="1" applyBorder="1"/>
    <xf numFmtId="0" fontId="4" fillId="38" borderId="10" xfId="0" applyFont="1" applyFill="1" applyBorder="1" applyAlignment="1">
      <alignment vertical="center"/>
    </xf>
    <xf numFmtId="0" fontId="4" fillId="38" borderId="10" xfId="1" applyFont="1" applyFill="1" applyBorder="1" applyAlignment="1">
      <alignment horizontal="left" vertical="center"/>
    </xf>
    <xf numFmtId="164" fontId="4" fillId="38" borderId="10" xfId="1" applyNumberFormat="1" applyFont="1" applyFill="1" applyBorder="1" applyAlignment="1">
      <alignment horizontal="left" vertical="center"/>
    </xf>
    <xf numFmtId="164" fontId="34" fillId="38" borderId="10" xfId="1" applyNumberFormat="1" applyFont="1" applyFill="1" applyBorder="1" applyAlignment="1" applyProtection="1">
      <alignment horizontal="left" vertical="center"/>
      <protection locked="0"/>
    </xf>
    <xf numFmtId="0" fontId="34" fillId="38" borderId="10" xfId="0" applyFont="1" applyFill="1" applyBorder="1" applyAlignment="1">
      <alignment horizontal="left" vertical="center"/>
    </xf>
    <xf numFmtId="0" fontId="34" fillId="33" borderId="10" xfId="0" applyFont="1" applyFill="1" applyBorder="1" applyAlignment="1">
      <alignment vertical="center"/>
    </xf>
    <xf numFmtId="0" fontId="4" fillId="33" borderId="10" xfId="0" quotePrefix="1" applyFont="1" applyFill="1" applyBorder="1" applyAlignment="1">
      <alignment vertical="center"/>
    </xf>
    <xf numFmtId="164" fontId="34" fillId="38" borderId="10" xfId="1" applyNumberFormat="1" applyFont="1" applyFill="1" applyBorder="1" applyAlignment="1">
      <alignment horizontal="left" vertical="center"/>
    </xf>
    <xf numFmtId="0" fontId="4" fillId="40" borderId="10" xfId="0" applyFont="1" applyFill="1" applyBorder="1" applyAlignment="1">
      <alignment horizontal="left" vertical="center"/>
    </xf>
    <xf numFmtId="0" fontId="4" fillId="40" borderId="10" xfId="1" applyFont="1" applyFill="1" applyBorder="1" applyAlignment="1">
      <alignment horizontal="left" vertical="center"/>
    </xf>
    <xf numFmtId="164" fontId="34" fillId="40" borderId="10" xfId="1" applyNumberFormat="1" applyFont="1" applyFill="1" applyBorder="1" applyAlignment="1" applyProtection="1">
      <alignment horizontal="left" vertical="center"/>
      <protection locked="0"/>
    </xf>
    <xf numFmtId="164" fontId="4" fillId="40" borderId="10" xfId="1" applyNumberFormat="1" applyFont="1" applyFill="1" applyBorder="1" applyAlignment="1" applyProtection="1">
      <alignment horizontal="left" vertical="center"/>
      <protection locked="0"/>
    </xf>
    <xf numFmtId="0" fontId="34" fillId="40" borderId="10" xfId="0" applyFont="1" applyFill="1" applyBorder="1" applyAlignment="1">
      <alignment horizontal="left" vertical="center"/>
    </xf>
    <xf numFmtId="0" fontId="34" fillId="40" borderId="10" xfId="1" applyFont="1" applyFill="1" applyBorder="1" applyAlignment="1">
      <alignment horizontal="left" vertical="center"/>
    </xf>
    <xf numFmtId="164" fontId="34" fillId="33" borderId="10" xfId="1" applyNumberFormat="1" applyFont="1" applyFill="1" applyBorder="1" applyAlignment="1" applyProtection="1">
      <alignment horizontal="left" vertical="center" shrinkToFit="1"/>
      <protection locked="0"/>
    </xf>
    <xf numFmtId="0" fontId="34" fillId="33" borderId="10" xfId="1" applyFont="1" applyFill="1" applyBorder="1" applyAlignment="1">
      <alignment horizontal="left" vertical="center" shrinkToFit="1"/>
    </xf>
    <xf numFmtId="0" fontId="5" fillId="35" borderId="14" xfId="0" applyFont="1" applyFill="1" applyBorder="1" applyAlignment="1">
      <alignment horizontal="center" vertical="center"/>
    </xf>
    <xf numFmtId="0" fontId="5" fillId="35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39" borderId="11" xfId="1" applyFont="1" applyFill="1" applyBorder="1" applyAlignment="1">
      <alignment horizontal="center" vertical="center"/>
    </xf>
    <xf numFmtId="0" fontId="7" fillId="39" borderId="17" xfId="1" applyFont="1" applyFill="1" applyBorder="1" applyAlignment="1">
      <alignment horizontal="center" vertical="center"/>
    </xf>
    <xf numFmtId="0" fontId="7" fillId="39" borderId="20" xfId="1" applyFont="1" applyFill="1" applyBorder="1" applyAlignment="1">
      <alignment horizontal="center" vertical="center"/>
    </xf>
    <xf numFmtId="0" fontId="7" fillId="39" borderId="11" xfId="1" applyFont="1" applyFill="1" applyBorder="1" applyAlignment="1">
      <alignment horizontal="center" vertical="center" wrapText="1"/>
    </xf>
    <xf numFmtId="0" fontId="7" fillId="39" borderId="17" xfId="1" applyFont="1" applyFill="1" applyBorder="1" applyAlignment="1">
      <alignment horizontal="center" vertical="center" wrapText="1"/>
    </xf>
    <xf numFmtId="0" fontId="7" fillId="39" borderId="20" xfId="1" applyFont="1" applyFill="1" applyBorder="1" applyAlignment="1">
      <alignment horizontal="center" vertical="center" wrapText="1"/>
    </xf>
    <xf numFmtId="166" fontId="7" fillId="39" borderId="11" xfId="1" applyNumberFormat="1" applyFont="1" applyFill="1" applyBorder="1" applyAlignment="1">
      <alignment horizontal="center" vertical="center"/>
    </xf>
    <xf numFmtId="166" fontId="7" fillId="39" borderId="17" xfId="1" applyNumberFormat="1" applyFont="1" applyFill="1" applyBorder="1" applyAlignment="1">
      <alignment horizontal="center" vertical="center"/>
    </xf>
    <xf numFmtId="166" fontId="7" fillId="39" borderId="20" xfId="1" applyNumberFormat="1" applyFont="1" applyFill="1" applyBorder="1" applyAlignment="1">
      <alignment horizontal="center" vertical="center"/>
    </xf>
    <xf numFmtId="0" fontId="7" fillId="39" borderId="13" xfId="1" applyFont="1" applyFill="1" applyBorder="1" applyAlignment="1">
      <alignment horizontal="center" vertical="center"/>
    </xf>
    <xf numFmtId="0" fontId="7" fillId="39" borderId="12" xfId="1" applyFont="1" applyFill="1" applyBorder="1" applyAlignment="1">
      <alignment horizontal="center" vertical="center"/>
    </xf>
    <xf numFmtId="0" fontId="7" fillId="39" borderId="18" xfId="1" applyFont="1" applyFill="1" applyBorder="1" applyAlignment="1">
      <alignment horizontal="center" vertical="center"/>
    </xf>
    <xf numFmtId="0" fontId="7" fillId="39" borderId="19" xfId="1" applyFont="1" applyFill="1" applyBorder="1" applyAlignment="1">
      <alignment horizontal="center" vertical="center"/>
    </xf>
    <xf numFmtId="164" fontId="7" fillId="39" borderId="11" xfId="1" applyNumberFormat="1" applyFont="1" applyFill="1" applyBorder="1" applyAlignment="1">
      <alignment horizontal="center" vertical="center"/>
    </xf>
    <xf numFmtId="164" fontId="7" fillId="39" borderId="17" xfId="1" applyNumberFormat="1" applyFont="1" applyFill="1" applyBorder="1" applyAlignment="1">
      <alignment horizontal="center" vertical="center"/>
    </xf>
    <xf numFmtId="0" fontId="41" fillId="39" borderId="11" xfId="1" applyFont="1" applyFill="1" applyBorder="1" applyAlignment="1" applyProtection="1">
      <alignment horizontal="center" vertical="center" shrinkToFit="1"/>
      <protection locked="0"/>
    </xf>
    <xf numFmtId="0" fontId="41" fillId="39" borderId="17" xfId="1" applyFont="1" applyFill="1" applyBorder="1" applyAlignment="1" applyProtection="1">
      <alignment horizontal="center" vertical="center" shrinkToFit="1"/>
      <protection locked="0"/>
    </xf>
    <xf numFmtId="0" fontId="41" fillId="39" borderId="20" xfId="1" applyFont="1" applyFill="1" applyBorder="1" applyAlignment="1" applyProtection="1">
      <alignment horizontal="center" vertical="center" shrinkToFit="1"/>
      <protection locked="0"/>
    </xf>
    <xf numFmtId="0" fontId="7" fillId="39" borderId="11" xfId="1" applyFont="1" applyFill="1" applyBorder="1" applyAlignment="1">
      <alignment horizontal="center" vertical="center" shrinkToFit="1"/>
    </xf>
    <xf numFmtId="0" fontId="7" fillId="39" borderId="17" xfId="1" applyFont="1" applyFill="1" applyBorder="1" applyAlignment="1">
      <alignment horizontal="center" vertical="center" shrinkToFit="1"/>
    </xf>
    <xf numFmtId="164" fontId="5" fillId="39" borderId="11" xfId="1" applyNumberFormat="1" applyFont="1" applyFill="1" applyBorder="1" applyAlignment="1">
      <alignment horizontal="center" vertical="center" wrapText="1"/>
    </xf>
    <xf numFmtId="164" fontId="5" fillId="39" borderId="17" xfId="1" applyNumberFormat="1" applyFont="1" applyFill="1" applyBorder="1" applyAlignment="1">
      <alignment horizontal="center" vertical="center" wrapText="1"/>
    </xf>
    <xf numFmtId="164" fontId="5" fillId="39" borderId="20" xfId="1" applyNumberFormat="1" applyFont="1" applyFill="1" applyBorder="1" applyAlignment="1">
      <alignment horizontal="center" vertical="center" wrapText="1"/>
    </xf>
    <xf numFmtId="166" fontId="5" fillId="39" borderId="11" xfId="1" applyNumberFormat="1" applyFont="1" applyFill="1" applyBorder="1" applyAlignment="1">
      <alignment horizontal="center" vertical="center"/>
    </xf>
    <xf numFmtId="166" fontId="5" fillId="39" borderId="17" xfId="1" applyNumberFormat="1" applyFont="1" applyFill="1" applyBorder="1" applyAlignment="1">
      <alignment horizontal="center" vertical="center"/>
    </xf>
    <xf numFmtId="166" fontId="5" fillId="39" borderId="20" xfId="1" applyNumberFormat="1" applyFont="1" applyFill="1" applyBorder="1" applyAlignment="1">
      <alignment horizontal="center" vertical="center"/>
    </xf>
    <xf numFmtId="0" fontId="43" fillId="38" borderId="10" xfId="0" applyFont="1" applyFill="1" applyBorder="1" applyAlignment="1">
      <alignment horizontal="center" vertical="center" wrapText="1"/>
    </xf>
    <xf numFmtId="0" fontId="7" fillId="34" borderId="14" xfId="1" applyFont="1" applyFill="1" applyBorder="1" applyAlignment="1">
      <alignment horizontal="center" vertical="center"/>
    </xf>
    <xf numFmtId="0" fontId="7" fillId="34" borderId="15" xfId="1" applyFont="1" applyFill="1" applyBorder="1" applyAlignment="1">
      <alignment horizontal="center" vertical="center"/>
    </xf>
    <xf numFmtId="0" fontId="7" fillId="34" borderId="13" xfId="1" applyFont="1" applyFill="1" applyBorder="1" applyAlignment="1">
      <alignment horizontal="center" vertical="center"/>
    </xf>
    <xf numFmtId="0" fontId="7" fillId="34" borderId="12" xfId="1" applyFont="1" applyFill="1" applyBorder="1" applyAlignment="1">
      <alignment horizontal="center" vertical="center"/>
    </xf>
  </cellXfs>
  <cellStyles count="123">
    <cellStyle name="20% - Accent1 2" xfId="3" xr:uid="{00000000-0005-0000-0000-000000000000}"/>
    <cellStyle name="20% - Accent1 3" xfId="4" xr:uid="{00000000-0005-0000-0000-000001000000}"/>
    <cellStyle name="20% - Accent2 2" xfId="5" xr:uid="{00000000-0005-0000-0000-000002000000}"/>
    <cellStyle name="20% - Accent2 3" xfId="6" xr:uid="{00000000-0005-0000-0000-000003000000}"/>
    <cellStyle name="20% - Accent3 2" xfId="7" xr:uid="{00000000-0005-0000-0000-000004000000}"/>
    <cellStyle name="20% - Accent3 3" xfId="8" xr:uid="{00000000-0005-0000-0000-000005000000}"/>
    <cellStyle name="20% - Accent4 2" xfId="9" xr:uid="{00000000-0005-0000-0000-000006000000}"/>
    <cellStyle name="20% - Accent4 3" xfId="10" xr:uid="{00000000-0005-0000-0000-000007000000}"/>
    <cellStyle name="20% - Accent5 2" xfId="11" xr:uid="{00000000-0005-0000-0000-000008000000}"/>
    <cellStyle name="20% - Accent5 3" xfId="12" xr:uid="{00000000-0005-0000-0000-000009000000}"/>
    <cellStyle name="20% - Accent6 2" xfId="13" xr:uid="{00000000-0005-0000-0000-00000A000000}"/>
    <cellStyle name="20% - Accent6 3" xfId="14" xr:uid="{00000000-0005-0000-0000-00000B000000}"/>
    <cellStyle name="40% - Accent1 2" xfId="15" xr:uid="{00000000-0005-0000-0000-00000C000000}"/>
    <cellStyle name="40% - Accent1 3" xfId="16" xr:uid="{00000000-0005-0000-0000-00000D000000}"/>
    <cellStyle name="40% - Accent2 2" xfId="17" xr:uid="{00000000-0005-0000-0000-00000E000000}"/>
    <cellStyle name="40% - Accent2 3" xfId="18" xr:uid="{00000000-0005-0000-0000-00000F000000}"/>
    <cellStyle name="40% - Accent3 2" xfId="19" xr:uid="{00000000-0005-0000-0000-000010000000}"/>
    <cellStyle name="40% - Accent3 3" xfId="20" xr:uid="{00000000-0005-0000-0000-000011000000}"/>
    <cellStyle name="40% - Accent4 2" xfId="21" xr:uid="{00000000-0005-0000-0000-000012000000}"/>
    <cellStyle name="40% - Accent4 3" xfId="22" xr:uid="{00000000-0005-0000-0000-000013000000}"/>
    <cellStyle name="40% - Accent5 2" xfId="23" xr:uid="{00000000-0005-0000-0000-000014000000}"/>
    <cellStyle name="40% - Accent5 3" xfId="24" xr:uid="{00000000-0005-0000-0000-000015000000}"/>
    <cellStyle name="40% - Accent6 2" xfId="25" xr:uid="{00000000-0005-0000-0000-000016000000}"/>
    <cellStyle name="40% - Accent6 3" xfId="26" xr:uid="{00000000-0005-0000-0000-000017000000}"/>
    <cellStyle name="60% - Accent1 2" xfId="27" xr:uid="{00000000-0005-0000-0000-000018000000}"/>
    <cellStyle name="60% - Accent1 3" xfId="28" xr:uid="{00000000-0005-0000-0000-000019000000}"/>
    <cellStyle name="60% - Accent2 2" xfId="29" xr:uid="{00000000-0005-0000-0000-00001A000000}"/>
    <cellStyle name="60% - Accent2 3" xfId="30" xr:uid="{00000000-0005-0000-0000-00001B000000}"/>
    <cellStyle name="60% - Accent3 2" xfId="31" xr:uid="{00000000-0005-0000-0000-00001C000000}"/>
    <cellStyle name="60% - Accent3 3" xfId="32" xr:uid="{00000000-0005-0000-0000-00001D000000}"/>
    <cellStyle name="60% - Accent4 2" xfId="33" xr:uid="{00000000-0005-0000-0000-00001E000000}"/>
    <cellStyle name="60% - Accent4 3" xfId="34" xr:uid="{00000000-0005-0000-0000-00001F000000}"/>
    <cellStyle name="60% - Accent5 2" xfId="35" xr:uid="{00000000-0005-0000-0000-000020000000}"/>
    <cellStyle name="60% - Accent5 3" xfId="36" xr:uid="{00000000-0005-0000-0000-000021000000}"/>
    <cellStyle name="60% - Accent6 2" xfId="37" xr:uid="{00000000-0005-0000-0000-000022000000}"/>
    <cellStyle name="60% - Accent6 3" xfId="38" xr:uid="{00000000-0005-0000-0000-000023000000}"/>
    <cellStyle name="Accent1 2" xfId="39" xr:uid="{00000000-0005-0000-0000-000024000000}"/>
    <cellStyle name="Accent1 3" xfId="40" xr:uid="{00000000-0005-0000-0000-000025000000}"/>
    <cellStyle name="Accent2 2" xfId="41" xr:uid="{00000000-0005-0000-0000-000026000000}"/>
    <cellStyle name="Accent2 3" xfId="42" xr:uid="{00000000-0005-0000-0000-000027000000}"/>
    <cellStyle name="Accent3 2" xfId="43" xr:uid="{00000000-0005-0000-0000-000028000000}"/>
    <cellStyle name="Accent3 3" xfId="44" xr:uid="{00000000-0005-0000-0000-000029000000}"/>
    <cellStyle name="Accent4 2" xfId="45" xr:uid="{00000000-0005-0000-0000-00002A000000}"/>
    <cellStyle name="Accent4 3" xfId="46" xr:uid="{00000000-0005-0000-0000-00002B000000}"/>
    <cellStyle name="Accent5 2" xfId="47" xr:uid="{00000000-0005-0000-0000-00002C000000}"/>
    <cellStyle name="Accent5 3" xfId="48" xr:uid="{00000000-0005-0000-0000-00002D000000}"/>
    <cellStyle name="Accent6 2" xfId="49" xr:uid="{00000000-0005-0000-0000-00002E000000}"/>
    <cellStyle name="Accent6 3" xfId="50" xr:uid="{00000000-0005-0000-0000-00002F000000}"/>
    <cellStyle name="Bad 2" xfId="51" xr:uid="{00000000-0005-0000-0000-000030000000}"/>
    <cellStyle name="Bad 3" xfId="52" xr:uid="{00000000-0005-0000-0000-000031000000}"/>
    <cellStyle name="Calculation 2" xfId="53" xr:uid="{00000000-0005-0000-0000-000032000000}"/>
    <cellStyle name="Calculation 3" xfId="54" xr:uid="{00000000-0005-0000-0000-000033000000}"/>
    <cellStyle name="Check Cell 2" xfId="55" xr:uid="{00000000-0005-0000-0000-000034000000}"/>
    <cellStyle name="Check Cell 3" xfId="56" xr:uid="{00000000-0005-0000-0000-000035000000}"/>
    <cellStyle name="Comma 17" xfId="57" xr:uid="{00000000-0005-0000-0000-000036000000}"/>
    <cellStyle name="Comma 2" xfId="58" xr:uid="{00000000-0005-0000-0000-000037000000}"/>
    <cellStyle name="Explanatory Text 2" xfId="59" xr:uid="{00000000-0005-0000-0000-000038000000}"/>
    <cellStyle name="Explanatory Text 3" xfId="60" xr:uid="{00000000-0005-0000-0000-000039000000}"/>
    <cellStyle name="Good 2" xfId="61" xr:uid="{00000000-0005-0000-0000-00003A000000}"/>
    <cellStyle name="Good 3" xfId="62" xr:uid="{00000000-0005-0000-0000-00003B000000}"/>
    <cellStyle name="Heading 1 2" xfId="63" xr:uid="{00000000-0005-0000-0000-00003C000000}"/>
    <cellStyle name="Heading 1 3" xfId="64" xr:uid="{00000000-0005-0000-0000-00003D000000}"/>
    <cellStyle name="Heading 2 2" xfId="65" xr:uid="{00000000-0005-0000-0000-00003E000000}"/>
    <cellStyle name="Heading 2 3" xfId="66" xr:uid="{00000000-0005-0000-0000-00003F000000}"/>
    <cellStyle name="Heading 3 2" xfId="67" xr:uid="{00000000-0005-0000-0000-000040000000}"/>
    <cellStyle name="Heading 3 3" xfId="68" xr:uid="{00000000-0005-0000-0000-000041000000}"/>
    <cellStyle name="Heading 4 2" xfId="69" xr:uid="{00000000-0005-0000-0000-000042000000}"/>
    <cellStyle name="Heading 4 3" xfId="70" xr:uid="{00000000-0005-0000-0000-000043000000}"/>
    <cellStyle name="Hyperlink 2" xfId="71" xr:uid="{00000000-0005-0000-0000-000044000000}"/>
    <cellStyle name="Input 2" xfId="72" xr:uid="{00000000-0005-0000-0000-000045000000}"/>
    <cellStyle name="Input 3" xfId="73" xr:uid="{00000000-0005-0000-0000-000046000000}"/>
    <cellStyle name="jojo" xfId="74" xr:uid="{00000000-0005-0000-0000-000047000000}"/>
    <cellStyle name="Linked Cell 2" xfId="75" xr:uid="{00000000-0005-0000-0000-000048000000}"/>
    <cellStyle name="Linked Cell 3" xfId="76" xr:uid="{00000000-0005-0000-0000-000049000000}"/>
    <cellStyle name="Neutral 2" xfId="77" xr:uid="{00000000-0005-0000-0000-00004A000000}"/>
    <cellStyle name="Neutral 3" xfId="78" xr:uid="{00000000-0005-0000-0000-00004B000000}"/>
    <cellStyle name="Normal" xfId="0" builtinId="0"/>
    <cellStyle name="Normal 10" xfId="79" xr:uid="{00000000-0005-0000-0000-00004D000000}"/>
    <cellStyle name="Normal 100" xfId="80" xr:uid="{00000000-0005-0000-0000-00004E000000}"/>
    <cellStyle name="Normal 107" xfId="81" xr:uid="{00000000-0005-0000-0000-00004F000000}"/>
    <cellStyle name="Normal 14" xfId="82" xr:uid="{00000000-0005-0000-0000-000050000000}"/>
    <cellStyle name="Normal 2" xfId="1" xr:uid="{00000000-0005-0000-0000-000051000000}"/>
    <cellStyle name="Normal 2 10" xfId="83" xr:uid="{00000000-0005-0000-0000-000052000000}"/>
    <cellStyle name="Normal 2 10 2" xfId="84" xr:uid="{00000000-0005-0000-0000-000053000000}"/>
    <cellStyle name="Normal 2 2" xfId="85" xr:uid="{00000000-0005-0000-0000-000054000000}"/>
    <cellStyle name="Normal 2 2 2" xfId="86" xr:uid="{00000000-0005-0000-0000-000055000000}"/>
    <cellStyle name="Normal 2 2 2 3" xfId="121" xr:uid="{70C0109A-93A5-4CEE-A8F1-867502F09790}"/>
    <cellStyle name="Normal 2 3" xfId="87" xr:uid="{00000000-0005-0000-0000-000056000000}"/>
    <cellStyle name="Normal 2 3 2" xfId="88" xr:uid="{00000000-0005-0000-0000-000057000000}"/>
    <cellStyle name="Normal 2 4" xfId="89" xr:uid="{00000000-0005-0000-0000-000058000000}"/>
    <cellStyle name="Normal 2 4 10" xfId="90" xr:uid="{00000000-0005-0000-0000-000059000000}"/>
    <cellStyle name="Normal 2 5" xfId="122" xr:uid="{BBD217AF-5481-4E32-B96F-AF72FA49547F}"/>
    <cellStyle name="Normal 25" xfId="91" xr:uid="{00000000-0005-0000-0000-00005A000000}"/>
    <cellStyle name="Normal 3" xfId="92" xr:uid="{00000000-0005-0000-0000-00005B000000}"/>
    <cellStyle name="Normal 3 2" xfId="93" xr:uid="{00000000-0005-0000-0000-00005C000000}"/>
    <cellStyle name="Normal 3 3" xfId="94" xr:uid="{00000000-0005-0000-0000-00005D000000}"/>
    <cellStyle name="Normal 3 4" xfId="95" xr:uid="{00000000-0005-0000-0000-00005E000000}"/>
    <cellStyle name="Normal 4" xfId="96" xr:uid="{00000000-0005-0000-0000-00005F000000}"/>
    <cellStyle name="Normal 4 2" xfId="97" xr:uid="{00000000-0005-0000-0000-000060000000}"/>
    <cellStyle name="Normal 4 2 2" xfId="98" xr:uid="{00000000-0005-0000-0000-000061000000}"/>
    <cellStyle name="Normal 4 3" xfId="99" xr:uid="{00000000-0005-0000-0000-000062000000}"/>
    <cellStyle name="Normal 4 4" xfId="100" xr:uid="{00000000-0005-0000-0000-000063000000}"/>
    <cellStyle name="Normal 5 2" xfId="101" xr:uid="{00000000-0005-0000-0000-000064000000}"/>
    <cellStyle name="Normal 6" xfId="102" xr:uid="{00000000-0005-0000-0000-000065000000}"/>
    <cellStyle name="Normal 7" xfId="103" xr:uid="{00000000-0005-0000-0000-000066000000}"/>
    <cellStyle name="Normal 98" xfId="104" xr:uid="{00000000-0005-0000-0000-000067000000}"/>
    <cellStyle name="Normal_04.06.03" xfId="2" xr:uid="{00000000-0005-0000-0000-000068000000}"/>
    <cellStyle name="Note 2" xfId="105" xr:uid="{00000000-0005-0000-0000-000069000000}"/>
    <cellStyle name="Note 3" xfId="106" xr:uid="{00000000-0005-0000-0000-00006A000000}"/>
    <cellStyle name="Output 2" xfId="107" xr:uid="{00000000-0005-0000-0000-00006B000000}"/>
    <cellStyle name="Output 3" xfId="108" xr:uid="{00000000-0005-0000-0000-00006C000000}"/>
    <cellStyle name="Percent" xfId="120" builtinId="5"/>
    <cellStyle name="Percent 19" xfId="109" xr:uid="{00000000-0005-0000-0000-00006E000000}"/>
    <cellStyle name="Standard_Tabelle1" xfId="110" xr:uid="{00000000-0005-0000-0000-00006F000000}"/>
    <cellStyle name="Title 2" xfId="111" xr:uid="{00000000-0005-0000-0000-000070000000}"/>
    <cellStyle name="Title 3" xfId="112" xr:uid="{00000000-0005-0000-0000-000071000000}"/>
    <cellStyle name="Total 2" xfId="113" xr:uid="{00000000-0005-0000-0000-000072000000}"/>
    <cellStyle name="Total 3" xfId="114" xr:uid="{00000000-0005-0000-0000-000073000000}"/>
    <cellStyle name="Warning Text 2" xfId="115" xr:uid="{00000000-0005-0000-0000-000074000000}"/>
    <cellStyle name="Warning Text 3" xfId="116" xr:uid="{00000000-0005-0000-0000-000075000000}"/>
    <cellStyle name="ปกติ 2" xfId="117" xr:uid="{00000000-0005-0000-0000-000076000000}"/>
    <cellStyle name="ปกติ 2 2" xfId="118" xr:uid="{00000000-0005-0000-0000-000077000000}"/>
    <cellStyle name="ปกติ 3" xfId="119" xr:uid="{00000000-0005-0000-0000-000078000000}"/>
  </cellStyles>
  <dxfs count="1">
    <dxf>
      <font>
        <b/>
        <i val="0"/>
        <color rgb="FFFFFF00"/>
      </font>
      <fill>
        <patternFill>
          <bgColor rgb="FF0070C0"/>
        </patternFill>
      </fill>
    </dxf>
  </dxfs>
  <tableStyles count="0" defaultTableStyle="TableStyleMedium9" defaultPivotStyle="PivotStyleLight16"/>
  <colors>
    <mruColors>
      <color rgb="FFF84D08"/>
      <color rgb="FFF68B32"/>
      <color rgb="FF0BF57A"/>
      <color rgb="FF28E428"/>
      <color rgb="FF7035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590696</xdr:colOff>
      <xdr:row>1</xdr:row>
      <xdr:rowOff>285834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B42CCE-AB2E-49D5-899D-E75ABA670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896" cy="60015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omrotc\AppData\Local\Microsoft\Windows\INetCache\Content.Outlook\P7GJ30HA\Data%20Manpower%20FTM-Se%20update%20on%20%20Feb%20%202025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TAN-VNS" refreshedDate="43850.398796412039" createdVersion="6" refreshedVersion="6" minRefreshableVersion="3" recordCount="28" xr:uid="{00000000-000A-0000-FFFF-FFFF00000000}">
  <cacheSource type="worksheet">
    <worksheetSource ref="K9:M9" sheet="Operation" r:id="rId2"/>
  </cacheSource>
  <cacheFields count="3">
    <cacheField name="Position" numFmtId="0">
      <sharedItems count="8">
        <s v="Logistics Analyst"/>
        <s v="Admin"/>
        <s v="Operation Supervisor"/>
        <s v="Operative"/>
        <s v="Forklift Driver"/>
        <s v="Q.A.Operative"/>
        <s v="Data&amp;lnventory Controller"/>
        <s v="IT Technician"/>
      </sharedItems>
    </cacheField>
    <cacheField name="Department" numFmtId="0">
      <sharedItems/>
    </cacheField>
    <cacheField name="No." numFmtId="0">
      <sharedItems containsSemiMixedTypes="0" containsString="0" containsNumber="1" containsInteger="1" minValue="3" maxValue="12" count="6">
        <n v="3"/>
        <n v="5"/>
        <n v="4"/>
        <n v="9"/>
        <n v="10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s v="Operation"/>
    <x v="0"/>
  </r>
  <r>
    <x v="1"/>
    <s v="Admin"/>
    <x v="1"/>
  </r>
  <r>
    <x v="2"/>
    <s v="Operation"/>
    <x v="2"/>
  </r>
  <r>
    <x v="3"/>
    <s v="Operation"/>
    <x v="3"/>
  </r>
  <r>
    <x v="3"/>
    <s v="Operation"/>
    <x v="3"/>
  </r>
  <r>
    <x v="3"/>
    <s v="Operation"/>
    <x v="3"/>
  </r>
  <r>
    <x v="3"/>
    <s v="Operation"/>
    <x v="3"/>
  </r>
  <r>
    <x v="3"/>
    <s v="Operation"/>
    <x v="3"/>
  </r>
  <r>
    <x v="4"/>
    <s v="Operation"/>
    <x v="4"/>
  </r>
  <r>
    <x v="4"/>
    <s v="Operation"/>
    <x v="4"/>
  </r>
  <r>
    <x v="4"/>
    <s v="Operation"/>
    <x v="4"/>
  </r>
  <r>
    <x v="5"/>
    <s v="QA &amp; Inventory"/>
    <x v="5"/>
  </r>
  <r>
    <x v="6"/>
    <s v="QA &amp; Inventory"/>
    <x v="5"/>
  </r>
  <r>
    <x v="5"/>
    <s v="QA &amp; Inventory"/>
    <x v="5"/>
  </r>
  <r>
    <x v="5"/>
    <s v="QA &amp; Inventory"/>
    <x v="5"/>
  </r>
  <r>
    <x v="7"/>
    <s v="IT"/>
    <x v="2"/>
  </r>
  <r>
    <x v="2"/>
    <s v="Operation"/>
    <x v="2"/>
  </r>
  <r>
    <x v="3"/>
    <s v="Operation"/>
    <x v="3"/>
  </r>
  <r>
    <x v="3"/>
    <s v="Operation"/>
    <x v="3"/>
  </r>
  <r>
    <x v="3"/>
    <s v="Operation"/>
    <x v="3"/>
  </r>
  <r>
    <x v="4"/>
    <s v="Operation"/>
    <x v="4"/>
  </r>
  <r>
    <x v="4"/>
    <s v="Operation"/>
    <x v="4"/>
  </r>
  <r>
    <x v="4"/>
    <s v="Operation"/>
    <x v="4"/>
  </r>
  <r>
    <x v="4"/>
    <s v="Operation"/>
    <x v="4"/>
  </r>
  <r>
    <x v="6"/>
    <s v="QA &amp; Inventory"/>
    <x v="5"/>
  </r>
  <r>
    <x v="6"/>
    <s v="QA &amp; Inventory"/>
    <x v="5"/>
  </r>
  <r>
    <x v="5"/>
    <s v="QA &amp; Inventory"/>
    <x v="5"/>
  </r>
  <r>
    <x v="5"/>
    <s v="QA &amp; Inventory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gridDropZones="1" multipleFieldFilters="0">
  <location ref="A3:H12" firstHeaderRow="2" firstDataRow="2" firstDataCol="2"/>
  <pivotFields count="3">
    <pivotField axis="axisRow" compact="0" outline="0" subtotalTop="0" showAll="0" defaultSubtotal="0">
      <items count="8">
        <item x="4"/>
        <item x="0"/>
        <item x="2"/>
        <item x="3"/>
        <item x="5"/>
        <item x="1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6">
        <item x="0"/>
        <item x="2"/>
        <item x="1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0"/>
  </rowFields>
  <rowItems count="8">
    <i>
      <x/>
      <x v="1"/>
    </i>
    <i>
      <x v="1"/>
      <x v="2"/>
    </i>
    <i r="1">
      <x v="7"/>
    </i>
    <i>
      <x v="2"/>
      <x v="5"/>
    </i>
    <i>
      <x v="3"/>
      <x v="3"/>
    </i>
    <i>
      <x v="4"/>
      <x/>
    </i>
    <i>
      <x v="5"/>
      <x v="4"/>
    </i>
    <i r="1">
      <x v="6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B12"/>
  <sheetViews>
    <sheetView workbookViewId="0">
      <selection activeCell="B11" sqref="B11"/>
    </sheetView>
  </sheetViews>
  <sheetFormatPr defaultRowHeight="15"/>
  <cols>
    <col min="1" max="1" width="6.42578125" bestFit="1" customWidth="1"/>
    <col min="2" max="2" width="24.85546875" bestFit="1" customWidth="1"/>
  </cols>
  <sheetData>
    <row r="4" spans="1:2">
      <c r="A4" s="29" t="s">
        <v>49</v>
      </c>
      <c r="B4" s="29" t="s">
        <v>26</v>
      </c>
    </row>
    <row r="5" spans="1:2">
      <c r="A5">
        <v>3</v>
      </c>
      <c r="B5" t="s">
        <v>15</v>
      </c>
    </row>
    <row r="6" spans="1:2">
      <c r="A6">
        <v>4</v>
      </c>
      <c r="B6" t="s">
        <v>50</v>
      </c>
    </row>
    <row r="7" spans="1:2">
      <c r="A7">
        <v>4</v>
      </c>
      <c r="B7" t="s">
        <v>64</v>
      </c>
    </row>
    <row r="8" spans="1:2">
      <c r="A8">
        <v>5</v>
      </c>
      <c r="B8" t="s">
        <v>55</v>
      </c>
    </row>
    <row r="9" spans="1:2">
      <c r="A9">
        <v>9</v>
      </c>
      <c r="B9" t="s">
        <v>0</v>
      </c>
    </row>
    <row r="10" spans="1:2">
      <c r="A10">
        <v>10</v>
      </c>
      <c r="B10" t="s">
        <v>51</v>
      </c>
    </row>
    <row r="11" spans="1:2">
      <c r="A11">
        <v>12</v>
      </c>
      <c r="B11" t="s">
        <v>54</v>
      </c>
    </row>
    <row r="12" spans="1:2">
      <c r="A12">
        <v>12</v>
      </c>
      <c r="B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B177-D68F-4F79-B836-24627E9FD034}">
  <sheetPr codeName="Sheet2">
    <tabColor rgb="FF00B050"/>
  </sheetPr>
  <dimension ref="A1:T101"/>
  <sheetViews>
    <sheetView tabSelected="1" zoomScaleNormal="100" workbookViewId="0">
      <pane ySplit="7" topLeftCell="A8" activePane="bottomLeft" state="frozen"/>
      <selection pane="bottomLeft" activeCell="I96" sqref="I96"/>
    </sheetView>
  </sheetViews>
  <sheetFormatPr defaultColWidth="9.140625" defaultRowHeight="21" outlineLevelCol="1"/>
  <cols>
    <col min="1" max="1" width="7.7109375" style="21" customWidth="1"/>
    <col min="2" max="2" width="13.85546875" style="20" customWidth="1"/>
    <col min="3" max="3" width="10.7109375" style="20" customWidth="1"/>
    <col min="4" max="4" width="14" style="20" customWidth="1"/>
    <col min="5" max="5" width="13.7109375" style="20" customWidth="1"/>
    <col min="6" max="6" width="10.42578125" style="20" customWidth="1"/>
    <col min="7" max="7" width="10.28515625" style="21" customWidth="1" outlineLevel="1"/>
    <col min="8" max="8" width="9.28515625" style="21" customWidth="1" outlineLevel="1"/>
    <col min="9" max="9" width="14.7109375" style="20" customWidth="1" outlineLevel="1"/>
    <col min="10" max="10" width="19.28515625" style="20" customWidth="1" outlineLevel="1"/>
    <col min="11" max="11" width="23.28515625" style="20" customWidth="1"/>
    <col min="12" max="12" width="17.85546875" style="20" customWidth="1"/>
    <col min="13" max="13" width="11.5703125" style="21" customWidth="1"/>
    <col min="14" max="14" width="14.28515625" style="21" customWidth="1"/>
    <col min="15" max="15" width="12.85546875" style="20" customWidth="1" outlineLevel="1"/>
    <col min="16" max="16" width="14.140625" style="20" customWidth="1" outlineLevel="1"/>
    <col min="17" max="17" width="14.5703125" style="20" customWidth="1" outlineLevel="1"/>
    <col min="18" max="18" width="12.140625" style="20" customWidth="1"/>
    <col min="19" max="19" width="65.42578125" style="45" customWidth="1"/>
    <col min="20" max="20" width="31.5703125" style="20" customWidth="1"/>
    <col min="21" max="16384" width="9.140625" style="20"/>
  </cols>
  <sheetData>
    <row r="1" spans="1:20" ht="22.5" customHeight="1">
      <c r="A1" s="42" t="s">
        <v>271</v>
      </c>
    </row>
    <row r="2" spans="1:20">
      <c r="A2" s="152" t="s">
        <v>37</v>
      </c>
      <c r="B2" s="153"/>
      <c r="C2" s="22" t="s">
        <v>52</v>
      </c>
      <c r="D2" s="22" t="s">
        <v>53</v>
      </c>
      <c r="E2" s="22" t="s">
        <v>43</v>
      </c>
    </row>
    <row r="3" spans="1:20">
      <c r="A3" s="154" t="s">
        <v>38</v>
      </c>
      <c r="B3" s="155"/>
      <c r="C3" s="23">
        <v>17</v>
      </c>
      <c r="D3" s="23">
        <f>COUNTIF(N8:N98,"Permanent")</f>
        <v>35</v>
      </c>
      <c r="E3" s="24">
        <f>D3/$D$5</f>
        <v>0.37234042553191488</v>
      </c>
      <c r="G3" s="30"/>
      <c r="H3" s="31"/>
      <c r="M3" s="20"/>
    </row>
    <row r="4" spans="1:20">
      <c r="A4" s="154" t="s">
        <v>39</v>
      </c>
      <c r="B4" s="155"/>
      <c r="C4" s="23">
        <v>92</v>
      </c>
      <c r="D4" s="23">
        <f>COUNTIF(N8:N144,"Temporary")</f>
        <v>59</v>
      </c>
      <c r="E4" s="24">
        <f>D4/$D$5</f>
        <v>0.62765957446808507</v>
      </c>
      <c r="G4" s="30"/>
      <c r="H4" s="31"/>
      <c r="M4" s="20" t="s">
        <v>272</v>
      </c>
    </row>
    <row r="5" spans="1:20">
      <c r="A5" s="152" t="s">
        <v>44</v>
      </c>
      <c r="B5" s="153"/>
      <c r="C5" s="25">
        <f>SUM(C3:C4)</f>
        <v>109</v>
      </c>
      <c r="D5" s="25">
        <f>SUM(D3:D4)</f>
        <v>94</v>
      </c>
      <c r="E5" s="26">
        <f>SUM(E3:E4)</f>
        <v>1</v>
      </c>
      <c r="G5" s="41" t="s">
        <v>665</v>
      </c>
      <c r="K5" s="59"/>
      <c r="M5" s="20"/>
    </row>
    <row r="6" spans="1:20" ht="20.25" customHeight="1">
      <c r="F6" s="21"/>
      <c r="K6" s="21"/>
      <c r="L6" s="21"/>
      <c r="M6" s="20"/>
      <c r="N6" s="21">
        <f>SUBTOTAL(3,N8:N103)</f>
        <v>94</v>
      </c>
    </row>
    <row r="7" spans="1:20" ht="22.5" customHeight="1">
      <c r="A7" s="100" t="s">
        <v>33</v>
      </c>
      <c r="B7" s="100" t="s">
        <v>32</v>
      </c>
      <c r="C7" s="101" t="s">
        <v>31</v>
      </c>
      <c r="D7" s="102" t="s">
        <v>40</v>
      </c>
      <c r="E7" s="102" t="s">
        <v>41</v>
      </c>
      <c r="F7" s="101" t="s">
        <v>45</v>
      </c>
      <c r="G7" s="103" t="s">
        <v>29</v>
      </c>
      <c r="H7" s="104" t="s">
        <v>28</v>
      </c>
      <c r="I7" s="105" t="s">
        <v>56</v>
      </c>
      <c r="J7" s="105" t="s">
        <v>42</v>
      </c>
      <c r="K7" s="106" t="s">
        <v>26</v>
      </c>
      <c r="L7" s="107" t="s">
        <v>48</v>
      </c>
      <c r="M7" s="108" t="s">
        <v>49</v>
      </c>
      <c r="N7" s="108" t="s">
        <v>37</v>
      </c>
      <c r="O7" s="109" t="s">
        <v>25</v>
      </c>
      <c r="P7" s="110" t="s">
        <v>24</v>
      </c>
      <c r="Q7" s="108" t="s">
        <v>23</v>
      </c>
      <c r="R7" s="108" t="s">
        <v>22</v>
      </c>
      <c r="S7" s="111" t="s">
        <v>21</v>
      </c>
    </row>
    <row r="8" spans="1:20" ht="21" customHeight="1">
      <c r="A8" s="61">
        <v>1</v>
      </c>
      <c r="B8" s="6" t="s">
        <v>114</v>
      </c>
      <c r="C8" s="65" t="s">
        <v>3</v>
      </c>
      <c r="D8" s="66" t="s">
        <v>115</v>
      </c>
      <c r="E8" s="61" t="s">
        <v>116</v>
      </c>
      <c r="F8" s="61" t="s">
        <v>105</v>
      </c>
      <c r="G8" s="67" t="s">
        <v>2</v>
      </c>
      <c r="H8" s="67" t="s">
        <v>1</v>
      </c>
      <c r="I8" s="61" t="s">
        <v>117</v>
      </c>
      <c r="J8" s="61" t="s">
        <v>118</v>
      </c>
      <c r="K8" s="68" t="s">
        <v>835</v>
      </c>
      <c r="L8" s="61" t="s">
        <v>58</v>
      </c>
      <c r="M8" s="61">
        <v>1</v>
      </c>
      <c r="N8" s="61" t="s">
        <v>38</v>
      </c>
      <c r="O8" s="4">
        <v>41064</v>
      </c>
      <c r="P8" s="4">
        <f t="shared" ref="P8:P16" si="0">O8+119</f>
        <v>41183</v>
      </c>
      <c r="Q8" s="68" t="s">
        <v>119</v>
      </c>
      <c r="R8" s="4" t="s">
        <v>70</v>
      </c>
      <c r="S8" s="61" t="s">
        <v>120</v>
      </c>
      <c r="T8" s="97" t="str">
        <f t="shared" ref="T8:T39" si="1">C8&amp;" "&amp;D8&amp;"  "&amp;E8</f>
        <v>นาย วรรณชัย  เกิดช่อ</v>
      </c>
    </row>
    <row r="9" spans="1:20" ht="21" customHeight="1">
      <c r="A9" s="61">
        <v>2</v>
      </c>
      <c r="B9" s="6" t="s">
        <v>306</v>
      </c>
      <c r="C9" s="65" t="s">
        <v>3</v>
      </c>
      <c r="D9" s="6" t="s">
        <v>307</v>
      </c>
      <c r="E9" s="6" t="s">
        <v>308</v>
      </c>
      <c r="F9" s="6" t="s">
        <v>105</v>
      </c>
      <c r="G9" s="69" t="s">
        <v>2</v>
      </c>
      <c r="H9" s="69" t="s">
        <v>1</v>
      </c>
      <c r="I9" s="6" t="s">
        <v>315</v>
      </c>
      <c r="J9" s="6" t="s">
        <v>316</v>
      </c>
      <c r="K9" s="66" t="s">
        <v>839</v>
      </c>
      <c r="L9" s="61" t="s">
        <v>58</v>
      </c>
      <c r="M9" s="6">
        <v>1</v>
      </c>
      <c r="N9" s="6" t="s">
        <v>38</v>
      </c>
      <c r="O9" s="70">
        <v>43536</v>
      </c>
      <c r="P9" s="70">
        <f t="shared" si="0"/>
        <v>43655</v>
      </c>
      <c r="Q9" s="68" t="s">
        <v>520</v>
      </c>
      <c r="R9" s="6" t="s">
        <v>70</v>
      </c>
      <c r="S9" s="61" t="s">
        <v>850</v>
      </c>
      <c r="T9" s="97" t="str">
        <f t="shared" si="1"/>
        <v>นาย ทรงพล  กิ่งเงิน</v>
      </c>
    </row>
    <row r="10" spans="1:20" ht="21.75">
      <c r="A10" s="61">
        <v>3</v>
      </c>
      <c r="B10" s="6" t="s">
        <v>100</v>
      </c>
      <c r="C10" s="65" t="s">
        <v>72</v>
      </c>
      <c r="D10" s="66" t="s">
        <v>101</v>
      </c>
      <c r="E10" s="6" t="s">
        <v>102</v>
      </c>
      <c r="F10" s="6" t="s">
        <v>105</v>
      </c>
      <c r="G10" s="69" t="s">
        <v>75</v>
      </c>
      <c r="H10" s="69" t="s">
        <v>76</v>
      </c>
      <c r="I10" s="6" t="s">
        <v>103</v>
      </c>
      <c r="J10" s="6" t="s">
        <v>104</v>
      </c>
      <c r="K10" s="66" t="s">
        <v>212</v>
      </c>
      <c r="L10" s="61" t="s">
        <v>58</v>
      </c>
      <c r="M10" s="6">
        <v>2</v>
      </c>
      <c r="N10" s="6" t="s">
        <v>38</v>
      </c>
      <c r="O10" s="70">
        <v>41137</v>
      </c>
      <c r="P10" s="4">
        <f t="shared" si="0"/>
        <v>41256</v>
      </c>
      <c r="Q10" s="66" t="s">
        <v>473</v>
      </c>
      <c r="R10" s="6" t="s">
        <v>70</v>
      </c>
      <c r="S10" s="6" t="s">
        <v>415</v>
      </c>
      <c r="T10" s="97" t="str">
        <f t="shared" si="1"/>
        <v>นางสาว รุ่งทิวา  บุญทรัพย์</v>
      </c>
    </row>
    <row r="11" spans="1:20" ht="21.75">
      <c r="A11" s="61">
        <v>4</v>
      </c>
      <c r="B11" s="72" t="s">
        <v>382</v>
      </c>
      <c r="C11" s="72" t="s">
        <v>3</v>
      </c>
      <c r="D11" s="72" t="s">
        <v>380</v>
      </c>
      <c r="E11" s="72" t="s">
        <v>381</v>
      </c>
      <c r="F11" s="6" t="s">
        <v>105</v>
      </c>
      <c r="G11" s="62" t="s">
        <v>2</v>
      </c>
      <c r="H11" s="62" t="s">
        <v>1</v>
      </c>
      <c r="I11" s="6" t="s">
        <v>383</v>
      </c>
      <c r="J11" s="6" t="s">
        <v>384</v>
      </c>
      <c r="K11" s="66" t="s">
        <v>212</v>
      </c>
      <c r="L11" s="61" t="s">
        <v>58</v>
      </c>
      <c r="M11" s="6">
        <v>2</v>
      </c>
      <c r="N11" s="6" t="s">
        <v>38</v>
      </c>
      <c r="O11" s="72">
        <v>44781</v>
      </c>
      <c r="P11" s="62">
        <f t="shared" si="0"/>
        <v>44900</v>
      </c>
      <c r="Q11" s="71" t="s">
        <v>472</v>
      </c>
      <c r="R11" s="62" t="s">
        <v>70</v>
      </c>
      <c r="S11" s="5" t="s">
        <v>391</v>
      </c>
      <c r="T11" s="97" t="str">
        <f t="shared" si="1"/>
        <v>นาย กาณฑ์  อัญชะลีพร</v>
      </c>
    </row>
    <row r="12" spans="1:20" ht="21.75">
      <c r="A12" s="61">
        <v>5</v>
      </c>
      <c r="B12" s="63" t="s">
        <v>527</v>
      </c>
      <c r="C12" s="63" t="s">
        <v>3</v>
      </c>
      <c r="D12" s="63" t="s">
        <v>533</v>
      </c>
      <c r="E12" s="63" t="s">
        <v>528</v>
      </c>
      <c r="F12" s="63" t="s">
        <v>105</v>
      </c>
      <c r="G12" s="72" t="s">
        <v>2</v>
      </c>
      <c r="H12" s="72" t="s">
        <v>1</v>
      </c>
      <c r="I12" s="63" t="s">
        <v>529</v>
      </c>
      <c r="J12" s="63" t="s">
        <v>530</v>
      </c>
      <c r="K12" s="64" t="s">
        <v>15</v>
      </c>
      <c r="L12" s="61" t="s">
        <v>58</v>
      </c>
      <c r="M12" s="63">
        <v>3</v>
      </c>
      <c r="N12" s="6" t="s">
        <v>38</v>
      </c>
      <c r="O12" s="70">
        <v>44566</v>
      </c>
      <c r="P12" s="70">
        <f t="shared" si="0"/>
        <v>44685</v>
      </c>
      <c r="Q12" s="63" t="s">
        <v>531</v>
      </c>
      <c r="R12" s="6" t="s">
        <v>70</v>
      </c>
      <c r="S12" s="5" t="s">
        <v>560</v>
      </c>
      <c r="T12" s="97" t="str">
        <f t="shared" si="1"/>
        <v>นาย ภูรินท์  คุณกันหา</v>
      </c>
    </row>
    <row r="13" spans="1:20" ht="21.75">
      <c r="A13" s="61">
        <v>6</v>
      </c>
      <c r="B13" s="63" t="s">
        <v>133</v>
      </c>
      <c r="C13" s="63" t="s">
        <v>72</v>
      </c>
      <c r="D13" s="64" t="s">
        <v>134</v>
      </c>
      <c r="E13" s="63" t="s">
        <v>711</v>
      </c>
      <c r="F13" s="6" t="s">
        <v>105</v>
      </c>
      <c r="G13" s="73" t="s">
        <v>75</v>
      </c>
      <c r="H13" s="61" t="s">
        <v>76</v>
      </c>
      <c r="I13" s="5" t="s">
        <v>135</v>
      </c>
      <c r="J13" s="5" t="s">
        <v>136</v>
      </c>
      <c r="K13" s="95" t="s">
        <v>840</v>
      </c>
      <c r="L13" s="61" t="s">
        <v>58</v>
      </c>
      <c r="M13" s="6">
        <v>4</v>
      </c>
      <c r="N13" s="6" t="s">
        <v>38</v>
      </c>
      <c r="O13" s="70">
        <v>44656</v>
      </c>
      <c r="P13" s="4">
        <f t="shared" si="0"/>
        <v>44775</v>
      </c>
      <c r="Q13" s="64" t="s">
        <v>137</v>
      </c>
      <c r="R13" s="4" t="s">
        <v>70</v>
      </c>
      <c r="S13" s="61" t="s">
        <v>414</v>
      </c>
      <c r="T13" s="97" t="str">
        <f t="shared" si="1"/>
        <v>นางสาว พรทิพย์   โชคสวัสดิ์</v>
      </c>
    </row>
    <row r="14" spans="1:20" ht="21.75">
      <c r="A14" s="61">
        <v>7</v>
      </c>
      <c r="B14" s="74" t="s">
        <v>121</v>
      </c>
      <c r="C14" s="6" t="s">
        <v>72</v>
      </c>
      <c r="D14" s="66" t="s">
        <v>122</v>
      </c>
      <c r="E14" s="61" t="s">
        <v>123</v>
      </c>
      <c r="F14" s="61" t="s">
        <v>105</v>
      </c>
      <c r="G14" s="7" t="s">
        <v>75</v>
      </c>
      <c r="H14" s="61" t="s">
        <v>76</v>
      </c>
      <c r="I14" s="61" t="s">
        <v>124</v>
      </c>
      <c r="J14" s="61" t="s">
        <v>125</v>
      </c>
      <c r="K14" s="68" t="s">
        <v>837</v>
      </c>
      <c r="L14" s="61" t="s">
        <v>58</v>
      </c>
      <c r="M14" s="61">
        <v>5</v>
      </c>
      <c r="N14" s="61" t="s">
        <v>38</v>
      </c>
      <c r="O14" s="4">
        <v>42522</v>
      </c>
      <c r="P14" s="4">
        <f t="shared" si="0"/>
        <v>42641</v>
      </c>
      <c r="Q14" s="66" t="s">
        <v>126</v>
      </c>
      <c r="R14" s="6" t="s">
        <v>70</v>
      </c>
      <c r="S14" s="64"/>
      <c r="T14" s="97" t="str">
        <f t="shared" si="1"/>
        <v>นางสาว สมรจน์  โชคสวัสดิ์</v>
      </c>
    </row>
    <row r="15" spans="1:20" ht="21.75">
      <c r="A15" s="61">
        <v>8</v>
      </c>
      <c r="B15" s="66" t="s">
        <v>229</v>
      </c>
      <c r="C15" s="72" t="s">
        <v>3</v>
      </c>
      <c r="D15" s="72" t="s">
        <v>231</v>
      </c>
      <c r="E15" s="76" t="s">
        <v>232</v>
      </c>
      <c r="F15" s="6" t="s">
        <v>88</v>
      </c>
      <c r="G15" s="75" t="s">
        <v>2</v>
      </c>
      <c r="H15" s="75" t="s">
        <v>1</v>
      </c>
      <c r="I15" s="76" t="s">
        <v>234</v>
      </c>
      <c r="J15" s="76" t="s">
        <v>235</v>
      </c>
      <c r="K15" s="96" t="s">
        <v>50</v>
      </c>
      <c r="L15" s="61" t="s">
        <v>58</v>
      </c>
      <c r="M15" s="6">
        <v>4</v>
      </c>
      <c r="N15" s="6" t="s">
        <v>38</v>
      </c>
      <c r="O15" s="76">
        <v>44805</v>
      </c>
      <c r="P15" s="70">
        <f t="shared" si="0"/>
        <v>44924</v>
      </c>
      <c r="Q15" s="5" t="s">
        <v>282</v>
      </c>
      <c r="R15" s="6" t="s">
        <v>70</v>
      </c>
      <c r="S15" s="61" t="s">
        <v>414</v>
      </c>
      <c r="T15" s="97" t="str">
        <f t="shared" si="1"/>
        <v>นาย ณัฐณรงค์  สีวอ</v>
      </c>
    </row>
    <row r="16" spans="1:20" ht="21.75">
      <c r="A16" s="61">
        <v>9</v>
      </c>
      <c r="B16" s="63" t="s">
        <v>562</v>
      </c>
      <c r="C16" s="63" t="s">
        <v>3</v>
      </c>
      <c r="D16" s="63" t="s">
        <v>242</v>
      </c>
      <c r="E16" s="5" t="s">
        <v>243</v>
      </c>
      <c r="F16" s="6" t="s">
        <v>88</v>
      </c>
      <c r="G16" s="75" t="s">
        <v>2</v>
      </c>
      <c r="H16" s="75" t="s">
        <v>1</v>
      </c>
      <c r="I16" s="5" t="s">
        <v>244</v>
      </c>
      <c r="J16" s="5" t="s">
        <v>245</v>
      </c>
      <c r="K16" s="96" t="s">
        <v>50</v>
      </c>
      <c r="L16" s="61" t="s">
        <v>58</v>
      </c>
      <c r="M16" s="6">
        <v>4</v>
      </c>
      <c r="N16" s="6" t="s">
        <v>38</v>
      </c>
      <c r="O16" s="76">
        <v>44848</v>
      </c>
      <c r="P16" s="4">
        <f t="shared" si="0"/>
        <v>44967</v>
      </c>
      <c r="Q16" s="5" t="s">
        <v>474</v>
      </c>
      <c r="R16" s="6" t="s">
        <v>70</v>
      </c>
      <c r="S16" s="64" t="s">
        <v>563</v>
      </c>
      <c r="T16" s="97" t="str">
        <f t="shared" si="1"/>
        <v>นาย กิติพงษ์  มาสมจิตร</v>
      </c>
    </row>
    <row r="17" spans="1:20" ht="21.75">
      <c r="A17" s="61">
        <v>10</v>
      </c>
      <c r="B17" s="63" t="s">
        <v>564</v>
      </c>
      <c r="C17" s="63" t="s">
        <v>3</v>
      </c>
      <c r="D17" s="63" t="s">
        <v>147</v>
      </c>
      <c r="E17" s="5" t="s">
        <v>280</v>
      </c>
      <c r="F17" s="6" t="s">
        <v>88</v>
      </c>
      <c r="G17" s="69" t="s">
        <v>2</v>
      </c>
      <c r="H17" s="69" t="s">
        <v>1</v>
      </c>
      <c r="I17" s="5" t="s">
        <v>149</v>
      </c>
      <c r="J17" s="5" t="s">
        <v>281</v>
      </c>
      <c r="K17" s="96" t="s">
        <v>50</v>
      </c>
      <c r="L17" s="61" t="s">
        <v>58</v>
      </c>
      <c r="M17" s="6">
        <v>4</v>
      </c>
      <c r="N17" s="6" t="s">
        <v>38</v>
      </c>
      <c r="O17" s="72">
        <v>45044</v>
      </c>
      <c r="P17" s="4">
        <f>O17+730</f>
        <v>45774</v>
      </c>
      <c r="Q17" s="70" t="s">
        <v>282</v>
      </c>
      <c r="R17" s="6" t="s">
        <v>70</v>
      </c>
      <c r="S17" s="6" t="s">
        <v>565</v>
      </c>
      <c r="T17" s="97" t="str">
        <f t="shared" si="1"/>
        <v>นาย สุริยา  ทิพศร</v>
      </c>
    </row>
    <row r="18" spans="1:20" ht="21.75">
      <c r="A18" s="61">
        <v>11</v>
      </c>
      <c r="B18" s="6" t="s">
        <v>71</v>
      </c>
      <c r="C18" s="63" t="s">
        <v>72</v>
      </c>
      <c r="D18" s="77" t="s">
        <v>73</v>
      </c>
      <c r="E18" s="70" t="s">
        <v>74</v>
      </c>
      <c r="F18" s="6" t="s">
        <v>88</v>
      </c>
      <c r="G18" s="73" t="s">
        <v>75</v>
      </c>
      <c r="H18" s="6" t="s">
        <v>76</v>
      </c>
      <c r="I18" s="70" t="s">
        <v>77</v>
      </c>
      <c r="J18" s="70" t="s">
        <v>78</v>
      </c>
      <c r="K18" s="77" t="s">
        <v>841</v>
      </c>
      <c r="L18" s="61" t="s">
        <v>58</v>
      </c>
      <c r="M18" s="6">
        <v>5</v>
      </c>
      <c r="N18" s="6" t="s">
        <v>38</v>
      </c>
      <c r="O18" s="70">
        <v>44452</v>
      </c>
      <c r="P18" s="4">
        <f t="shared" ref="P18:P49" si="2">O18+119</f>
        <v>44571</v>
      </c>
      <c r="Q18" s="63" t="s">
        <v>685</v>
      </c>
      <c r="R18" s="6" t="s">
        <v>70</v>
      </c>
      <c r="S18" s="64" t="s">
        <v>414</v>
      </c>
      <c r="T18" s="97" t="str">
        <f t="shared" si="1"/>
        <v>นางสาว พรพรรณ  เพ็ชรเอี่ยม</v>
      </c>
    </row>
    <row r="19" spans="1:20" ht="21.75">
      <c r="A19" s="61">
        <v>12</v>
      </c>
      <c r="B19" s="63" t="s">
        <v>332</v>
      </c>
      <c r="C19" s="63" t="s">
        <v>3</v>
      </c>
      <c r="D19" s="64" t="s">
        <v>159</v>
      </c>
      <c r="E19" s="63" t="s">
        <v>160</v>
      </c>
      <c r="F19" s="63" t="s">
        <v>88</v>
      </c>
      <c r="G19" s="69" t="s">
        <v>2</v>
      </c>
      <c r="H19" s="69" t="s">
        <v>1</v>
      </c>
      <c r="I19" s="63" t="s">
        <v>161</v>
      </c>
      <c r="J19" s="63" t="s">
        <v>162</v>
      </c>
      <c r="K19" s="66" t="s">
        <v>834</v>
      </c>
      <c r="L19" s="61" t="s">
        <v>58</v>
      </c>
      <c r="M19" s="6">
        <v>9</v>
      </c>
      <c r="N19" s="6" t="s">
        <v>38</v>
      </c>
      <c r="O19" s="70">
        <v>44680</v>
      </c>
      <c r="P19" s="4">
        <f t="shared" si="2"/>
        <v>44799</v>
      </c>
      <c r="Q19" s="63" t="s">
        <v>169</v>
      </c>
      <c r="R19" s="6" t="s">
        <v>70</v>
      </c>
      <c r="S19" s="64" t="s">
        <v>349</v>
      </c>
      <c r="T19" s="97" t="str">
        <f t="shared" si="1"/>
        <v>นาย สุรยุทธ  ไชยราช</v>
      </c>
    </row>
    <row r="20" spans="1:20" ht="21.75">
      <c r="A20" s="61">
        <v>13</v>
      </c>
      <c r="B20" s="99" t="s">
        <v>343</v>
      </c>
      <c r="C20" s="82" t="s">
        <v>3</v>
      </c>
      <c r="D20" s="83" t="s">
        <v>203</v>
      </c>
      <c r="E20" s="82" t="s">
        <v>204</v>
      </c>
      <c r="F20" s="6" t="s">
        <v>88</v>
      </c>
      <c r="G20" s="84" t="s">
        <v>2</v>
      </c>
      <c r="H20" s="85" t="s">
        <v>1</v>
      </c>
      <c r="I20" s="82" t="s">
        <v>205</v>
      </c>
      <c r="J20" s="82" t="s">
        <v>206</v>
      </c>
      <c r="K20" s="66" t="s">
        <v>0</v>
      </c>
      <c r="L20" s="61" t="s">
        <v>58</v>
      </c>
      <c r="M20" s="6">
        <v>9</v>
      </c>
      <c r="N20" s="79" t="s">
        <v>38</v>
      </c>
      <c r="O20" s="86">
        <v>44739</v>
      </c>
      <c r="P20" s="4">
        <f t="shared" si="2"/>
        <v>44858</v>
      </c>
      <c r="Q20" s="87" t="s">
        <v>256</v>
      </c>
      <c r="R20" s="79" t="s">
        <v>70</v>
      </c>
      <c r="S20" s="64" t="s">
        <v>426</v>
      </c>
      <c r="T20" s="97" t="str">
        <f t="shared" si="1"/>
        <v>นาย ธารินทร์  ศาลางาม</v>
      </c>
    </row>
    <row r="21" spans="1:20" ht="21.75">
      <c r="A21" s="61">
        <v>14</v>
      </c>
      <c r="B21" s="63" t="s">
        <v>348</v>
      </c>
      <c r="C21" s="63" t="s">
        <v>3</v>
      </c>
      <c r="D21" s="63" t="s">
        <v>257</v>
      </c>
      <c r="E21" s="5" t="s">
        <v>258</v>
      </c>
      <c r="F21" s="63" t="s">
        <v>88</v>
      </c>
      <c r="G21" s="98" t="s">
        <v>2</v>
      </c>
      <c r="H21" s="75" t="s">
        <v>1</v>
      </c>
      <c r="I21" s="5" t="s">
        <v>259</v>
      </c>
      <c r="J21" s="5" t="s">
        <v>260</v>
      </c>
      <c r="K21" s="66" t="s">
        <v>0</v>
      </c>
      <c r="L21" s="61" t="s">
        <v>58</v>
      </c>
      <c r="M21" s="6">
        <v>9</v>
      </c>
      <c r="N21" s="6" t="s">
        <v>38</v>
      </c>
      <c r="O21" s="70">
        <v>44398</v>
      </c>
      <c r="P21" s="4">
        <f t="shared" si="2"/>
        <v>44517</v>
      </c>
      <c r="Q21" s="5" t="s">
        <v>127</v>
      </c>
      <c r="R21" s="6" t="s">
        <v>70</v>
      </c>
      <c r="S21" s="64" t="s">
        <v>428</v>
      </c>
      <c r="T21" s="97" t="str">
        <f t="shared" si="1"/>
        <v>นาย สุทัศน์  คงยืน</v>
      </c>
    </row>
    <row r="22" spans="1:20" ht="21.75">
      <c r="A22" s="61">
        <v>15</v>
      </c>
      <c r="B22" s="63" t="s">
        <v>680</v>
      </c>
      <c r="C22" s="62" t="s">
        <v>3</v>
      </c>
      <c r="D22" s="63" t="s">
        <v>587</v>
      </c>
      <c r="E22" s="63" t="s">
        <v>586</v>
      </c>
      <c r="F22" s="63" t="s">
        <v>88</v>
      </c>
      <c r="G22" s="88" t="s">
        <v>2</v>
      </c>
      <c r="H22" s="6" t="s">
        <v>1</v>
      </c>
      <c r="I22" s="63" t="s">
        <v>681</v>
      </c>
      <c r="J22" s="63" t="s">
        <v>682</v>
      </c>
      <c r="K22" s="66" t="s">
        <v>0</v>
      </c>
      <c r="L22" s="61" t="s">
        <v>58</v>
      </c>
      <c r="M22" s="6">
        <v>9</v>
      </c>
      <c r="N22" s="6" t="s">
        <v>38</v>
      </c>
      <c r="O22" s="62">
        <v>45015</v>
      </c>
      <c r="P22" s="70">
        <f t="shared" si="2"/>
        <v>45134</v>
      </c>
      <c r="Q22" s="63" t="s">
        <v>684</v>
      </c>
      <c r="R22" s="6" t="s">
        <v>70</v>
      </c>
      <c r="S22" s="64" t="s">
        <v>683</v>
      </c>
      <c r="T22" s="97" t="str">
        <f t="shared" si="1"/>
        <v>นาย  พิทูร    ทองคำ</v>
      </c>
    </row>
    <row r="23" spans="1:20" ht="21.75">
      <c r="A23" s="61">
        <v>16</v>
      </c>
      <c r="B23" s="63" t="s">
        <v>293</v>
      </c>
      <c r="C23" s="63" t="s">
        <v>3</v>
      </c>
      <c r="D23" s="63" t="s">
        <v>289</v>
      </c>
      <c r="E23" s="63" t="s">
        <v>292</v>
      </c>
      <c r="F23" s="6" t="s">
        <v>88</v>
      </c>
      <c r="G23" s="88" t="s">
        <v>2</v>
      </c>
      <c r="H23" s="6" t="s">
        <v>1</v>
      </c>
      <c r="I23" s="63" t="s">
        <v>290</v>
      </c>
      <c r="J23" s="63" t="s">
        <v>291</v>
      </c>
      <c r="K23" s="66" t="s">
        <v>0</v>
      </c>
      <c r="L23" s="61" t="s">
        <v>58</v>
      </c>
      <c r="M23" s="79">
        <v>9</v>
      </c>
      <c r="N23" s="6" t="s">
        <v>39</v>
      </c>
      <c r="O23" s="72">
        <v>45085</v>
      </c>
      <c r="P23" s="70">
        <f t="shared" si="2"/>
        <v>45204</v>
      </c>
      <c r="Q23" s="5" t="s">
        <v>294</v>
      </c>
      <c r="R23" s="6" t="s">
        <v>70</v>
      </c>
      <c r="S23" s="64" t="s">
        <v>431</v>
      </c>
      <c r="T23" s="97" t="str">
        <f t="shared" si="1"/>
        <v>นาย สันติ  อนุสีจันทร์</v>
      </c>
    </row>
    <row r="24" spans="1:20" ht="21.75">
      <c r="A24" s="61">
        <v>17</v>
      </c>
      <c r="B24" s="62" t="s">
        <v>366</v>
      </c>
      <c r="C24" s="64" t="s">
        <v>3</v>
      </c>
      <c r="D24" s="64" t="s">
        <v>362</v>
      </c>
      <c r="E24" s="64" t="s">
        <v>363</v>
      </c>
      <c r="F24" s="6" t="s">
        <v>88</v>
      </c>
      <c r="G24" s="62" t="s">
        <v>2</v>
      </c>
      <c r="H24" s="62" t="s">
        <v>1</v>
      </c>
      <c r="I24" s="72" t="s">
        <v>364</v>
      </c>
      <c r="J24" s="72" t="s">
        <v>365</v>
      </c>
      <c r="K24" s="66" t="s">
        <v>0</v>
      </c>
      <c r="L24" s="61" t="s">
        <v>58</v>
      </c>
      <c r="M24" s="6">
        <v>9</v>
      </c>
      <c r="N24" s="6" t="s">
        <v>39</v>
      </c>
      <c r="O24" s="72">
        <v>45385</v>
      </c>
      <c r="P24" s="62">
        <f t="shared" si="2"/>
        <v>45504</v>
      </c>
      <c r="Q24" s="62" t="s">
        <v>373</v>
      </c>
      <c r="R24" s="62" t="s">
        <v>70</v>
      </c>
      <c r="S24" s="62" t="s">
        <v>421</v>
      </c>
      <c r="T24" s="97" t="str">
        <f t="shared" si="1"/>
        <v>นาย ณัฐวุฒิ  เต็มจิตร</v>
      </c>
    </row>
    <row r="25" spans="1:20" ht="21.75">
      <c r="A25" s="61">
        <v>18</v>
      </c>
      <c r="B25" s="62" t="s">
        <v>374</v>
      </c>
      <c r="C25" s="62" t="s">
        <v>3</v>
      </c>
      <c r="D25" s="72" t="s">
        <v>375</v>
      </c>
      <c r="E25" s="62" t="s">
        <v>376</v>
      </c>
      <c r="F25" s="6" t="s">
        <v>88</v>
      </c>
      <c r="G25" s="90" t="s">
        <v>2</v>
      </c>
      <c r="H25" s="62" t="s">
        <v>1</v>
      </c>
      <c r="I25" s="62" t="s">
        <v>377</v>
      </c>
      <c r="J25" s="62" t="s">
        <v>378</v>
      </c>
      <c r="K25" s="66" t="s">
        <v>834</v>
      </c>
      <c r="L25" s="61" t="s">
        <v>58</v>
      </c>
      <c r="M25" s="6">
        <v>9</v>
      </c>
      <c r="N25" s="6" t="s">
        <v>39</v>
      </c>
      <c r="O25" s="62">
        <v>45467</v>
      </c>
      <c r="P25" s="62">
        <f t="shared" si="2"/>
        <v>45586</v>
      </c>
      <c r="Q25" s="62" t="s">
        <v>379</v>
      </c>
      <c r="R25" s="62" t="s">
        <v>70</v>
      </c>
      <c r="S25" s="62" t="s">
        <v>775</v>
      </c>
      <c r="T25" s="97" t="str">
        <f t="shared" si="1"/>
        <v>นาย ธันวา  ลำแก้ว</v>
      </c>
    </row>
    <row r="26" spans="1:20" ht="21.75">
      <c r="A26" s="61">
        <v>19</v>
      </c>
      <c r="B26" s="62" t="s">
        <v>395</v>
      </c>
      <c r="C26" s="62" t="s">
        <v>3</v>
      </c>
      <c r="D26" s="62" t="s">
        <v>396</v>
      </c>
      <c r="E26" s="62" t="s">
        <v>397</v>
      </c>
      <c r="F26" s="6" t="s">
        <v>88</v>
      </c>
      <c r="G26" s="90" t="s">
        <v>2</v>
      </c>
      <c r="H26" s="62" t="s">
        <v>1</v>
      </c>
      <c r="I26" s="62" t="s">
        <v>398</v>
      </c>
      <c r="J26" s="62" t="s">
        <v>399</v>
      </c>
      <c r="K26" s="66" t="s">
        <v>0</v>
      </c>
      <c r="L26" s="61" t="s">
        <v>58</v>
      </c>
      <c r="M26" s="6">
        <v>9</v>
      </c>
      <c r="N26" s="6" t="s">
        <v>39</v>
      </c>
      <c r="O26" s="62">
        <v>45519</v>
      </c>
      <c r="P26" s="62">
        <f t="shared" si="2"/>
        <v>45638</v>
      </c>
      <c r="Q26" s="62" t="s">
        <v>400</v>
      </c>
      <c r="R26" s="62" t="s">
        <v>70</v>
      </c>
      <c r="S26" s="5" t="s">
        <v>401</v>
      </c>
      <c r="T26" s="97" t="str">
        <f t="shared" si="1"/>
        <v>นาย อาณัฐชัย  อินนะรายรัมย์</v>
      </c>
    </row>
    <row r="27" spans="1:20" ht="21.75">
      <c r="A27" s="61">
        <v>20</v>
      </c>
      <c r="B27" s="62" t="s">
        <v>413</v>
      </c>
      <c r="C27" s="62" t="s">
        <v>3</v>
      </c>
      <c r="D27" s="62" t="s">
        <v>408</v>
      </c>
      <c r="E27" s="62" t="s">
        <v>409</v>
      </c>
      <c r="F27" s="6" t="s">
        <v>88</v>
      </c>
      <c r="G27" s="88" t="s">
        <v>2</v>
      </c>
      <c r="H27" s="6" t="s">
        <v>1</v>
      </c>
      <c r="I27" s="72" t="s">
        <v>410</v>
      </c>
      <c r="J27" s="72" t="s">
        <v>411</v>
      </c>
      <c r="K27" s="66" t="s">
        <v>0</v>
      </c>
      <c r="L27" s="61" t="s">
        <v>58</v>
      </c>
      <c r="M27" s="6">
        <v>9</v>
      </c>
      <c r="N27" s="6" t="s">
        <v>39</v>
      </c>
      <c r="O27" s="62">
        <v>45547</v>
      </c>
      <c r="P27" s="62">
        <f t="shared" si="2"/>
        <v>45666</v>
      </c>
      <c r="Q27" s="62" t="s">
        <v>412</v>
      </c>
      <c r="R27" s="62" t="s">
        <v>70</v>
      </c>
      <c r="S27" s="5" t="s">
        <v>420</v>
      </c>
      <c r="T27" s="97" t="str">
        <f t="shared" si="1"/>
        <v>นาย ธิติพงศ์  เพ็ชรศิลามณี</v>
      </c>
    </row>
    <row r="28" spans="1:20" ht="21.75">
      <c r="A28" s="61">
        <v>21</v>
      </c>
      <c r="B28" s="62" t="s">
        <v>442</v>
      </c>
      <c r="C28" s="62" t="s">
        <v>3</v>
      </c>
      <c r="D28" s="62" t="s">
        <v>437</v>
      </c>
      <c r="E28" s="62" t="s">
        <v>438</v>
      </c>
      <c r="F28" s="6" t="s">
        <v>88</v>
      </c>
      <c r="G28" s="90" t="s">
        <v>2</v>
      </c>
      <c r="H28" s="62" t="s">
        <v>1</v>
      </c>
      <c r="I28" s="62" t="s">
        <v>4</v>
      </c>
      <c r="J28" s="62" t="s">
        <v>439</v>
      </c>
      <c r="K28" s="66" t="s">
        <v>0</v>
      </c>
      <c r="L28" s="61" t="s">
        <v>58</v>
      </c>
      <c r="M28" s="6">
        <v>9</v>
      </c>
      <c r="N28" s="6" t="s">
        <v>39</v>
      </c>
      <c r="O28" s="62">
        <v>45586</v>
      </c>
      <c r="P28" s="62">
        <f t="shared" si="2"/>
        <v>45705</v>
      </c>
      <c r="Q28" s="62" t="s">
        <v>440</v>
      </c>
      <c r="R28" s="62" t="s">
        <v>70</v>
      </c>
      <c r="S28" s="5" t="s">
        <v>441</v>
      </c>
      <c r="T28" s="97" t="str">
        <f t="shared" si="1"/>
        <v>นาย ศราวุฒิ  คลังแก้ว</v>
      </c>
    </row>
    <row r="29" spans="1:20" ht="21.75">
      <c r="A29" s="61">
        <v>22</v>
      </c>
      <c r="B29" s="62" t="s">
        <v>449</v>
      </c>
      <c r="C29" s="62" t="s">
        <v>3</v>
      </c>
      <c r="D29" s="62" t="s">
        <v>443</v>
      </c>
      <c r="E29" s="62" t="s">
        <v>444</v>
      </c>
      <c r="F29" s="6" t="s">
        <v>88</v>
      </c>
      <c r="G29" s="90" t="s">
        <v>2</v>
      </c>
      <c r="H29" s="62" t="s">
        <v>1</v>
      </c>
      <c r="I29" s="62" t="s">
        <v>445</v>
      </c>
      <c r="J29" s="62" t="s">
        <v>446</v>
      </c>
      <c r="K29" s="66" t="s">
        <v>0</v>
      </c>
      <c r="L29" s="61" t="s">
        <v>58</v>
      </c>
      <c r="M29" s="6">
        <v>9</v>
      </c>
      <c r="N29" s="6" t="s">
        <v>39</v>
      </c>
      <c r="O29" s="62">
        <v>45665</v>
      </c>
      <c r="P29" s="62">
        <f t="shared" si="2"/>
        <v>45784</v>
      </c>
      <c r="Q29" s="62" t="s">
        <v>448</v>
      </c>
      <c r="R29" s="62" t="s">
        <v>70</v>
      </c>
      <c r="S29" s="62" t="s">
        <v>447</v>
      </c>
      <c r="T29" s="97" t="str">
        <f t="shared" si="1"/>
        <v>นาย สรายุทธ  ชีรัมย์</v>
      </c>
    </row>
    <row r="30" spans="1:20" ht="21.75">
      <c r="A30" s="61">
        <v>23</v>
      </c>
      <c r="B30" s="63" t="s">
        <v>475</v>
      </c>
      <c r="C30" s="63" t="s">
        <v>3</v>
      </c>
      <c r="D30" s="63" t="s">
        <v>476</v>
      </c>
      <c r="E30" s="63" t="s">
        <v>477</v>
      </c>
      <c r="F30" s="63" t="s">
        <v>88</v>
      </c>
      <c r="G30" s="91" t="s">
        <v>2</v>
      </c>
      <c r="H30" s="63" t="s">
        <v>1</v>
      </c>
      <c r="I30" s="63" t="s">
        <v>478</v>
      </c>
      <c r="J30" s="63" t="s">
        <v>479</v>
      </c>
      <c r="K30" s="66" t="s">
        <v>0</v>
      </c>
      <c r="L30" s="61" t="s">
        <v>58</v>
      </c>
      <c r="M30" s="6">
        <v>9</v>
      </c>
      <c r="N30" s="6" t="s">
        <v>39</v>
      </c>
      <c r="O30" s="72">
        <v>45706</v>
      </c>
      <c r="P30" s="70">
        <f t="shared" si="2"/>
        <v>45825</v>
      </c>
      <c r="Q30" s="64" t="s">
        <v>480</v>
      </c>
      <c r="R30" s="6" t="s">
        <v>70</v>
      </c>
      <c r="S30" s="64" t="s">
        <v>481</v>
      </c>
      <c r="T30" s="97" t="str">
        <f t="shared" si="1"/>
        <v>นาย อภิสิทธิ์  ไชยมั่น</v>
      </c>
    </row>
    <row r="31" spans="1:20" ht="21.75">
      <c r="A31" s="61">
        <v>24</v>
      </c>
      <c r="B31" s="63" t="s">
        <v>521</v>
      </c>
      <c r="C31" s="63" t="s">
        <v>3</v>
      </c>
      <c r="D31" s="63" t="s">
        <v>522</v>
      </c>
      <c r="E31" s="63" t="s">
        <v>523</v>
      </c>
      <c r="F31" s="72" t="s">
        <v>88</v>
      </c>
      <c r="G31" s="89" t="s">
        <v>2</v>
      </c>
      <c r="H31" s="72" t="s">
        <v>1</v>
      </c>
      <c r="I31" s="63" t="s">
        <v>524</v>
      </c>
      <c r="J31" s="63" t="s">
        <v>525</v>
      </c>
      <c r="K31" s="66" t="s">
        <v>838</v>
      </c>
      <c r="L31" s="61" t="s">
        <v>58</v>
      </c>
      <c r="M31" s="6">
        <v>9</v>
      </c>
      <c r="N31" s="6" t="s">
        <v>39</v>
      </c>
      <c r="O31" s="72">
        <v>45824</v>
      </c>
      <c r="P31" s="70">
        <f t="shared" si="2"/>
        <v>45943</v>
      </c>
      <c r="Q31" s="63" t="s">
        <v>526</v>
      </c>
      <c r="R31" s="6" t="s">
        <v>70</v>
      </c>
      <c r="S31" s="64" t="s">
        <v>532</v>
      </c>
      <c r="T31" s="97" t="str">
        <f t="shared" si="1"/>
        <v>นาย จิรพัฒน์  แจ่มจรัส</v>
      </c>
    </row>
    <row r="32" spans="1:20" ht="21.75">
      <c r="A32" s="61">
        <v>25</v>
      </c>
      <c r="B32" s="63" t="s">
        <v>537</v>
      </c>
      <c r="C32" s="63" t="s">
        <v>3</v>
      </c>
      <c r="D32" s="64" t="s">
        <v>536</v>
      </c>
      <c r="E32" s="63" t="s">
        <v>158</v>
      </c>
      <c r="F32" s="63" t="s">
        <v>88</v>
      </c>
      <c r="G32" s="91" t="s">
        <v>2</v>
      </c>
      <c r="H32" s="63" t="s">
        <v>1</v>
      </c>
      <c r="I32" s="63" t="s">
        <v>539</v>
      </c>
      <c r="J32" s="63" t="s">
        <v>540</v>
      </c>
      <c r="K32" s="66" t="s">
        <v>0</v>
      </c>
      <c r="L32" s="61" t="s">
        <v>58</v>
      </c>
      <c r="M32" s="63">
        <v>9</v>
      </c>
      <c r="N32" s="6" t="s">
        <v>39</v>
      </c>
      <c r="O32" s="70">
        <v>45870</v>
      </c>
      <c r="P32" s="4">
        <f t="shared" si="2"/>
        <v>45989</v>
      </c>
      <c r="Q32" s="5" t="s">
        <v>543</v>
      </c>
      <c r="R32" s="6" t="s">
        <v>70</v>
      </c>
      <c r="S32" s="5" t="s">
        <v>545</v>
      </c>
      <c r="T32" s="97" t="str">
        <f t="shared" si="1"/>
        <v>นาย ภีรเดช  สารทักษิณ</v>
      </c>
    </row>
    <row r="33" spans="1:20" ht="21.75">
      <c r="A33" s="61">
        <v>26</v>
      </c>
      <c r="B33" s="63" t="s">
        <v>572</v>
      </c>
      <c r="C33" s="63" t="s">
        <v>3</v>
      </c>
      <c r="D33" s="63" t="s">
        <v>566</v>
      </c>
      <c r="E33" s="63" t="s">
        <v>567</v>
      </c>
      <c r="F33" s="63" t="s">
        <v>88</v>
      </c>
      <c r="G33" s="91" t="s">
        <v>2</v>
      </c>
      <c r="H33" s="63" t="s">
        <v>1</v>
      </c>
      <c r="I33" s="63" t="s">
        <v>568</v>
      </c>
      <c r="J33" s="63" t="s">
        <v>569</v>
      </c>
      <c r="K33" s="66" t="s">
        <v>0</v>
      </c>
      <c r="L33" s="61" t="s">
        <v>58</v>
      </c>
      <c r="M33" s="6">
        <v>9</v>
      </c>
      <c r="N33" s="6" t="s">
        <v>39</v>
      </c>
      <c r="O33" s="72">
        <v>45911</v>
      </c>
      <c r="P33" s="70">
        <f t="shared" si="2"/>
        <v>46030</v>
      </c>
      <c r="Q33" s="63" t="s">
        <v>570</v>
      </c>
      <c r="R33" s="6" t="s">
        <v>70</v>
      </c>
      <c r="S33" s="64" t="s">
        <v>571</v>
      </c>
      <c r="T33" s="97" t="str">
        <f t="shared" si="1"/>
        <v>นาย นิกร  กันแก้ว</v>
      </c>
    </row>
    <row r="34" spans="1:20" ht="21.75">
      <c r="A34" s="61">
        <v>27</v>
      </c>
      <c r="B34" s="63" t="s">
        <v>579</v>
      </c>
      <c r="C34" s="63" t="s">
        <v>3</v>
      </c>
      <c r="D34" s="63" t="s">
        <v>580</v>
      </c>
      <c r="E34" s="63" t="s">
        <v>581</v>
      </c>
      <c r="F34" s="6" t="s">
        <v>88</v>
      </c>
      <c r="G34" s="92" t="s">
        <v>2</v>
      </c>
      <c r="H34" s="74" t="s">
        <v>1</v>
      </c>
      <c r="I34" s="63" t="s">
        <v>582</v>
      </c>
      <c r="J34" s="63" t="s">
        <v>583</v>
      </c>
      <c r="K34" s="66" t="s">
        <v>0</v>
      </c>
      <c r="L34" s="61" t="s">
        <v>58</v>
      </c>
      <c r="M34" s="6">
        <v>9</v>
      </c>
      <c r="N34" s="6" t="s">
        <v>39</v>
      </c>
      <c r="O34" s="72">
        <v>45932</v>
      </c>
      <c r="P34" s="70">
        <f t="shared" si="2"/>
        <v>46051</v>
      </c>
      <c r="Q34" s="63" t="s">
        <v>584</v>
      </c>
      <c r="R34" s="6" t="s">
        <v>70</v>
      </c>
      <c r="S34" s="64" t="s">
        <v>585</v>
      </c>
      <c r="T34" s="97" t="str">
        <f t="shared" si="1"/>
        <v>นาย พุฒิพงศ์  แนบพิมาย</v>
      </c>
    </row>
    <row r="35" spans="1:20" ht="21.75">
      <c r="A35" s="61">
        <v>28</v>
      </c>
      <c r="B35" s="63" t="s">
        <v>645</v>
      </c>
      <c r="C35" s="62" t="s">
        <v>3</v>
      </c>
      <c r="D35" s="63" t="s">
        <v>642</v>
      </c>
      <c r="E35" s="63" t="s">
        <v>643</v>
      </c>
      <c r="F35" s="63" t="s">
        <v>88</v>
      </c>
      <c r="G35" s="88" t="s">
        <v>2</v>
      </c>
      <c r="H35" s="6" t="s">
        <v>1</v>
      </c>
      <c r="I35" s="63" t="s">
        <v>646</v>
      </c>
      <c r="J35" s="63" t="s">
        <v>162</v>
      </c>
      <c r="K35" s="66" t="s">
        <v>0</v>
      </c>
      <c r="L35" s="61" t="s">
        <v>58</v>
      </c>
      <c r="M35" s="6">
        <v>9</v>
      </c>
      <c r="N35" s="6" t="s">
        <v>39</v>
      </c>
      <c r="O35" s="72">
        <v>45965</v>
      </c>
      <c r="P35" s="70">
        <f t="shared" si="2"/>
        <v>46084</v>
      </c>
      <c r="Q35" s="63" t="s">
        <v>647</v>
      </c>
      <c r="R35" s="6" t="s">
        <v>70</v>
      </c>
      <c r="S35" s="64" t="s">
        <v>644</v>
      </c>
      <c r="T35" s="97" t="str">
        <f t="shared" si="1"/>
        <v>นาย ศุภฤกษ์  ไชยรัตน์</v>
      </c>
    </row>
    <row r="36" spans="1:20" ht="21.75">
      <c r="A36" s="61">
        <v>29</v>
      </c>
      <c r="B36" s="131" t="s">
        <v>693</v>
      </c>
      <c r="C36" s="131" t="s">
        <v>3</v>
      </c>
      <c r="D36" s="131" t="s">
        <v>694</v>
      </c>
      <c r="E36" s="131" t="s">
        <v>695</v>
      </c>
      <c r="F36" s="6" t="s">
        <v>88</v>
      </c>
      <c r="G36" s="78" t="s">
        <v>2</v>
      </c>
      <c r="H36" s="69" t="s">
        <v>1</v>
      </c>
      <c r="I36" s="131" t="s">
        <v>696</v>
      </c>
      <c r="J36" s="131" t="s">
        <v>697</v>
      </c>
      <c r="K36" s="66" t="s">
        <v>0</v>
      </c>
      <c r="L36" s="61" t="s">
        <v>58</v>
      </c>
      <c r="M36" s="6">
        <v>9</v>
      </c>
      <c r="N36" s="6" t="s">
        <v>39</v>
      </c>
      <c r="O36" s="72">
        <v>46058</v>
      </c>
      <c r="P36" s="70">
        <f t="shared" si="2"/>
        <v>46177</v>
      </c>
      <c r="Q36" s="131" t="s">
        <v>698</v>
      </c>
      <c r="R36" s="6" t="s">
        <v>70</v>
      </c>
      <c r="S36" s="64" t="s">
        <v>699</v>
      </c>
      <c r="T36" s="97" t="str">
        <f t="shared" si="1"/>
        <v>นาย พิพัฒน์พล  จันทะพล</v>
      </c>
    </row>
    <row r="37" spans="1:20" ht="21.75">
      <c r="A37" s="61">
        <v>30</v>
      </c>
      <c r="B37" s="131" t="s">
        <v>737</v>
      </c>
      <c r="C37" s="131" t="s">
        <v>3</v>
      </c>
      <c r="D37" s="132" t="s">
        <v>738</v>
      </c>
      <c r="E37" s="131" t="s">
        <v>739</v>
      </c>
      <c r="F37" s="6" t="s">
        <v>88</v>
      </c>
      <c r="G37" s="74" t="s">
        <v>2</v>
      </c>
      <c r="H37" s="74" t="s">
        <v>1</v>
      </c>
      <c r="I37" s="131" t="s">
        <v>740</v>
      </c>
      <c r="J37" s="131" t="s">
        <v>741</v>
      </c>
      <c r="K37" s="66" t="s">
        <v>0</v>
      </c>
      <c r="L37" s="61" t="s">
        <v>58</v>
      </c>
      <c r="M37" s="6">
        <v>9</v>
      </c>
      <c r="N37" s="6" t="s">
        <v>39</v>
      </c>
      <c r="O37" s="72">
        <v>46134</v>
      </c>
      <c r="P37" s="70">
        <f t="shared" si="2"/>
        <v>46253</v>
      </c>
      <c r="Q37" s="131" t="s">
        <v>742</v>
      </c>
      <c r="R37" s="6" t="s">
        <v>70</v>
      </c>
      <c r="S37" s="64" t="s">
        <v>761</v>
      </c>
      <c r="T37" s="97" t="str">
        <f t="shared" si="1"/>
        <v xml:space="preserve">นาย ณัฐพงษ์  เต็มจิตร </v>
      </c>
    </row>
    <row r="38" spans="1:20" ht="21.75">
      <c r="A38" s="61">
        <v>31</v>
      </c>
      <c r="B38" s="132" t="s">
        <v>746</v>
      </c>
      <c r="C38" s="132" t="s">
        <v>3</v>
      </c>
      <c r="D38" s="141" t="s">
        <v>747</v>
      </c>
      <c r="E38" s="132" t="s">
        <v>748</v>
      </c>
      <c r="F38" s="6" t="s">
        <v>88</v>
      </c>
      <c r="G38" s="92" t="s">
        <v>2</v>
      </c>
      <c r="H38" s="74" t="s">
        <v>1</v>
      </c>
      <c r="I38" s="132" t="s">
        <v>749</v>
      </c>
      <c r="J38" s="132" t="s">
        <v>750</v>
      </c>
      <c r="K38" s="66" t="s">
        <v>0</v>
      </c>
      <c r="L38" s="61" t="s">
        <v>58</v>
      </c>
      <c r="M38" s="6">
        <v>9</v>
      </c>
      <c r="N38" s="6" t="s">
        <v>39</v>
      </c>
      <c r="O38" s="72">
        <v>46146</v>
      </c>
      <c r="P38" s="70">
        <f t="shared" si="2"/>
        <v>46265</v>
      </c>
      <c r="Q38" s="132" t="s">
        <v>752</v>
      </c>
      <c r="R38" s="6" t="s">
        <v>70</v>
      </c>
      <c r="S38" s="64" t="s">
        <v>754</v>
      </c>
      <c r="T38" s="97" t="str">
        <f t="shared" si="1"/>
        <v>นาย พุทธิพงศ์  เคนตี</v>
      </c>
    </row>
    <row r="39" spans="1:20" ht="21.75">
      <c r="A39" s="61">
        <v>32</v>
      </c>
      <c r="B39" s="132" t="s">
        <v>760</v>
      </c>
      <c r="C39" s="132" t="s">
        <v>3</v>
      </c>
      <c r="D39" s="141" t="s">
        <v>664</v>
      </c>
      <c r="E39" s="132" t="s">
        <v>755</v>
      </c>
      <c r="F39" s="6" t="s">
        <v>88</v>
      </c>
      <c r="G39" s="92" t="s">
        <v>2</v>
      </c>
      <c r="H39" s="74" t="s">
        <v>1</v>
      </c>
      <c r="I39" s="132" t="s">
        <v>756</v>
      </c>
      <c r="J39" s="132" t="s">
        <v>757</v>
      </c>
      <c r="K39" s="66" t="s">
        <v>0</v>
      </c>
      <c r="L39" s="61" t="s">
        <v>58</v>
      </c>
      <c r="M39" s="6">
        <v>9</v>
      </c>
      <c r="N39" s="6" t="s">
        <v>39</v>
      </c>
      <c r="O39" s="72">
        <v>46147</v>
      </c>
      <c r="P39" s="70">
        <f t="shared" si="2"/>
        <v>46266</v>
      </c>
      <c r="Q39" s="132" t="s">
        <v>758</v>
      </c>
      <c r="R39" s="6" t="s">
        <v>70</v>
      </c>
      <c r="S39" s="64" t="s">
        <v>759</v>
      </c>
      <c r="T39" s="97" t="str">
        <f t="shared" si="1"/>
        <v>นาย ธวัชชัย  คูรัมย์</v>
      </c>
    </row>
    <row r="40" spans="1:20" ht="21.75">
      <c r="A40" s="61">
        <v>33</v>
      </c>
      <c r="B40" s="132" t="s">
        <v>762</v>
      </c>
      <c r="C40" s="132" t="s">
        <v>3</v>
      </c>
      <c r="D40" s="132" t="s">
        <v>764</v>
      </c>
      <c r="E40" s="132" t="s">
        <v>765</v>
      </c>
      <c r="F40" s="6" t="s">
        <v>88</v>
      </c>
      <c r="G40" s="74" t="s">
        <v>2</v>
      </c>
      <c r="H40" s="74" t="s">
        <v>1</v>
      </c>
      <c r="I40" s="132" t="s">
        <v>524</v>
      </c>
      <c r="J40" s="132" t="s">
        <v>768</v>
      </c>
      <c r="K40" s="66" t="s">
        <v>0</v>
      </c>
      <c r="L40" s="61" t="s">
        <v>58</v>
      </c>
      <c r="M40" s="6">
        <v>9</v>
      </c>
      <c r="N40" s="6" t="s">
        <v>39</v>
      </c>
      <c r="O40" s="72">
        <v>46148</v>
      </c>
      <c r="P40" s="70">
        <f t="shared" si="2"/>
        <v>46267</v>
      </c>
      <c r="Q40" s="132" t="s">
        <v>772</v>
      </c>
      <c r="R40" s="6" t="s">
        <v>70</v>
      </c>
      <c r="S40" s="64" t="s">
        <v>773</v>
      </c>
      <c r="T40" s="97" t="str">
        <f t="shared" ref="T40:T71" si="3">C40&amp;" "&amp;D40&amp;"  "&amp;E40</f>
        <v>นาย จิรภัทร  น้อยตา</v>
      </c>
    </row>
    <row r="41" spans="1:20" ht="21.75">
      <c r="A41" s="61">
        <v>34</v>
      </c>
      <c r="B41" s="132" t="s">
        <v>763</v>
      </c>
      <c r="C41" s="132" t="s">
        <v>3</v>
      </c>
      <c r="D41" s="132" t="s">
        <v>766</v>
      </c>
      <c r="E41" s="132" t="s">
        <v>767</v>
      </c>
      <c r="F41" s="6" t="s">
        <v>88</v>
      </c>
      <c r="G41" s="74" t="s">
        <v>2</v>
      </c>
      <c r="H41" s="74" t="s">
        <v>1</v>
      </c>
      <c r="I41" s="132" t="s">
        <v>769</v>
      </c>
      <c r="J41" s="132" t="s">
        <v>770</v>
      </c>
      <c r="K41" s="66" t="s">
        <v>0</v>
      </c>
      <c r="L41" s="61" t="s">
        <v>58</v>
      </c>
      <c r="M41" s="6">
        <v>9</v>
      </c>
      <c r="N41" s="6" t="s">
        <v>39</v>
      </c>
      <c r="O41" s="72">
        <v>46148</v>
      </c>
      <c r="P41" s="70">
        <f t="shared" si="2"/>
        <v>46267</v>
      </c>
      <c r="Q41" s="132" t="s">
        <v>771</v>
      </c>
      <c r="R41" s="6" t="s">
        <v>70</v>
      </c>
      <c r="S41" s="64" t="s">
        <v>774</v>
      </c>
      <c r="T41" s="97" t="str">
        <f t="shared" si="3"/>
        <v>นาย อนาวิล  เชนรัมย์</v>
      </c>
    </row>
    <row r="42" spans="1:20" ht="21.75">
      <c r="A42" s="61">
        <v>35</v>
      </c>
      <c r="B42" s="132" t="s">
        <v>776</v>
      </c>
      <c r="C42" s="132" t="s">
        <v>3</v>
      </c>
      <c r="D42" s="132" t="s">
        <v>777</v>
      </c>
      <c r="E42" s="132" t="s">
        <v>778</v>
      </c>
      <c r="F42" s="6" t="s">
        <v>88</v>
      </c>
      <c r="G42" s="74" t="s">
        <v>2</v>
      </c>
      <c r="H42" s="74" t="s">
        <v>1</v>
      </c>
      <c r="I42" s="132" t="s">
        <v>782</v>
      </c>
      <c r="J42" s="132" t="s">
        <v>783</v>
      </c>
      <c r="K42" s="66" t="s">
        <v>0</v>
      </c>
      <c r="L42" s="61" t="s">
        <v>58</v>
      </c>
      <c r="M42" s="6">
        <v>9</v>
      </c>
      <c r="N42" s="6" t="s">
        <v>39</v>
      </c>
      <c r="O42" s="72">
        <v>46153</v>
      </c>
      <c r="P42" s="70">
        <f t="shared" si="2"/>
        <v>46272</v>
      </c>
      <c r="Q42" s="132" t="s">
        <v>786</v>
      </c>
      <c r="R42" s="6" t="s">
        <v>70</v>
      </c>
      <c r="S42" s="64" t="s">
        <v>788</v>
      </c>
      <c r="T42" s="97" t="str">
        <f t="shared" si="3"/>
        <v>นาย พิศุทธิ์  กล้าเชี่ยว</v>
      </c>
    </row>
    <row r="43" spans="1:20" ht="21.75">
      <c r="A43" s="61">
        <v>36</v>
      </c>
      <c r="B43" s="132" t="s">
        <v>830</v>
      </c>
      <c r="C43" s="132" t="s">
        <v>3</v>
      </c>
      <c r="D43" s="132" t="s">
        <v>824</v>
      </c>
      <c r="E43" s="132" t="s">
        <v>825</v>
      </c>
      <c r="F43" s="6" t="s">
        <v>88</v>
      </c>
      <c r="G43" s="92" t="s">
        <v>2</v>
      </c>
      <c r="H43" s="74" t="s">
        <v>1</v>
      </c>
      <c r="I43" s="132" t="s">
        <v>828</v>
      </c>
      <c r="J43" s="132" t="s">
        <v>829</v>
      </c>
      <c r="K43" s="66" t="s">
        <v>0</v>
      </c>
      <c r="L43" s="6" t="s">
        <v>58</v>
      </c>
      <c r="M43" s="6">
        <v>9</v>
      </c>
      <c r="N43" s="6" t="s">
        <v>39</v>
      </c>
      <c r="O43" s="72">
        <v>46211</v>
      </c>
      <c r="P43" s="70">
        <f t="shared" si="2"/>
        <v>46330</v>
      </c>
      <c r="Q43" s="132" t="s">
        <v>826</v>
      </c>
      <c r="R43" s="6" t="s">
        <v>70</v>
      </c>
      <c r="S43" s="64" t="s">
        <v>827</v>
      </c>
      <c r="T43" s="97" t="str">
        <f t="shared" si="3"/>
        <v>นาย สีหราช  บำรุงแคว้น</v>
      </c>
    </row>
    <row r="44" spans="1:20" ht="21.75">
      <c r="A44" s="61">
        <v>37</v>
      </c>
      <c r="B44" s="81" t="s">
        <v>342</v>
      </c>
      <c r="C44" s="72" t="s">
        <v>3</v>
      </c>
      <c r="D44" s="72" t="s">
        <v>196</v>
      </c>
      <c r="E44" s="72" t="s">
        <v>197</v>
      </c>
      <c r="F44" s="6" t="s">
        <v>88</v>
      </c>
      <c r="G44" s="74" t="s">
        <v>2</v>
      </c>
      <c r="H44" s="74" t="s">
        <v>1</v>
      </c>
      <c r="I44" s="72" t="s">
        <v>198</v>
      </c>
      <c r="J44" s="72" t="s">
        <v>199</v>
      </c>
      <c r="K44" s="77" t="s">
        <v>51</v>
      </c>
      <c r="L44" s="61" t="s">
        <v>58</v>
      </c>
      <c r="M44" s="6">
        <v>10</v>
      </c>
      <c r="N44" s="6" t="s">
        <v>38</v>
      </c>
      <c r="O44" s="70">
        <v>44726</v>
      </c>
      <c r="P44" s="4">
        <f t="shared" si="2"/>
        <v>44845</v>
      </c>
      <c r="Q44" s="5" t="s">
        <v>457</v>
      </c>
      <c r="R44" s="6" t="s">
        <v>70</v>
      </c>
      <c r="S44" s="64" t="s">
        <v>429</v>
      </c>
      <c r="T44" s="97" t="str">
        <f t="shared" si="3"/>
        <v>นาย ธนพนธ์  พงษ์พรม</v>
      </c>
    </row>
    <row r="45" spans="1:20" ht="21.75">
      <c r="A45" s="61">
        <v>38</v>
      </c>
      <c r="B45" s="63" t="s">
        <v>213</v>
      </c>
      <c r="C45" s="63" t="s">
        <v>3</v>
      </c>
      <c r="D45" s="63" t="s">
        <v>214</v>
      </c>
      <c r="E45" s="63" t="s">
        <v>215</v>
      </c>
      <c r="F45" s="6" t="s">
        <v>88</v>
      </c>
      <c r="G45" s="74" t="s">
        <v>2</v>
      </c>
      <c r="H45" s="74" t="s">
        <v>1</v>
      </c>
      <c r="I45" s="63" t="s">
        <v>216</v>
      </c>
      <c r="J45" s="63" t="s">
        <v>217</v>
      </c>
      <c r="K45" s="77" t="s">
        <v>51</v>
      </c>
      <c r="L45" s="61" t="s">
        <v>58</v>
      </c>
      <c r="M45" s="6">
        <v>10</v>
      </c>
      <c r="N45" s="6" t="s">
        <v>39</v>
      </c>
      <c r="O45" s="70">
        <v>44749</v>
      </c>
      <c r="P45" s="70">
        <f t="shared" si="2"/>
        <v>44868</v>
      </c>
      <c r="Q45" s="5" t="s">
        <v>458</v>
      </c>
      <c r="R45" s="6" t="s">
        <v>70</v>
      </c>
      <c r="S45" s="64" t="s">
        <v>422</v>
      </c>
      <c r="T45" s="97" t="str">
        <f t="shared" si="3"/>
        <v>นาย นิติ  ทิพโชติ</v>
      </c>
    </row>
    <row r="46" spans="1:20" ht="21.75">
      <c r="A46" s="61">
        <v>39</v>
      </c>
      <c r="B46" s="63" t="s">
        <v>269</v>
      </c>
      <c r="C46" s="63" t="s">
        <v>3</v>
      </c>
      <c r="D46" s="63" t="s">
        <v>266</v>
      </c>
      <c r="E46" s="5" t="s">
        <v>270</v>
      </c>
      <c r="F46" s="6" t="s">
        <v>88</v>
      </c>
      <c r="G46" s="69" t="s">
        <v>2</v>
      </c>
      <c r="H46" s="69" t="s">
        <v>1</v>
      </c>
      <c r="I46" s="5" t="s">
        <v>267</v>
      </c>
      <c r="J46" s="5" t="s">
        <v>268</v>
      </c>
      <c r="K46" s="77" t="s">
        <v>51</v>
      </c>
      <c r="L46" s="61" t="s">
        <v>58</v>
      </c>
      <c r="M46" s="6">
        <v>10</v>
      </c>
      <c r="N46" s="6" t="s">
        <v>39</v>
      </c>
      <c r="O46" s="72">
        <v>44984</v>
      </c>
      <c r="P46" s="70">
        <f t="shared" si="2"/>
        <v>45103</v>
      </c>
      <c r="Q46" s="5" t="s">
        <v>459</v>
      </c>
      <c r="R46" s="6" t="s">
        <v>70</v>
      </c>
      <c r="S46" s="64" t="s">
        <v>430</v>
      </c>
      <c r="T46" s="97" t="str">
        <f t="shared" si="3"/>
        <v>นาย สุขสันต์  ปานสังข์</v>
      </c>
    </row>
    <row r="47" spans="1:20" ht="21.75">
      <c r="A47" s="61">
        <v>40</v>
      </c>
      <c r="B47" s="63" t="s">
        <v>278</v>
      </c>
      <c r="C47" s="63" t="s">
        <v>3</v>
      </c>
      <c r="D47" s="64" t="s">
        <v>273</v>
      </c>
      <c r="E47" s="5" t="s">
        <v>274</v>
      </c>
      <c r="F47" s="6" t="s">
        <v>88</v>
      </c>
      <c r="G47" s="6" t="s">
        <v>2</v>
      </c>
      <c r="H47" s="6" t="s">
        <v>1</v>
      </c>
      <c r="I47" s="5" t="s">
        <v>275</v>
      </c>
      <c r="J47" s="5" t="s">
        <v>276</v>
      </c>
      <c r="K47" s="77" t="s">
        <v>51</v>
      </c>
      <c r="L47" s="61" t="s">
        <v>58</v>
      </c>
      <c r="M47" s="6">
        <v>10</v>
      </c>
      <c r="N47" s="6" t="s">
        <v>39</v>
      </c>
      <c r="O47" s="72">
        <v>45037</v>
      </c>
      <c r="P47" s="70">
        <f t="shared" si="2"/>
        <v>45156</v>
      </c>
      <c r="Q47" s="5" t="s">
        <v>277</v>
      </c>
      <c r="R47" s="6" t="s">
        <v>70</v>
      </c>
      <c r="S47" s="64" t="s">
        <v>423</v>
      </c>
      <c r="T47" s="97" t="str">
        <f t="shared" si="3"/>
        <v>นาย ธีรศักดิ์  หงสุวรรณ์</v>
      </c>
    </row>
    <row r="48" spans="1:20" ht="21.75">
      <c r="A48" s="61">
        <v>41</v>
      </c>
      <c r="B48" s="63" t="s">
        <v>299</v>
      </c>
      <c r="C48" s="63" t="s">
        <v>3</v>
      </c>
      <c r="D48" s="63" t="s">
        <v>295</v>
      </c>
      <c r="E48" s="5" t="s">
        <v>296</v>
      </c>
      <c r="F48" s="6" t="s">
        <v>88</v>
      </c>
      <c r="G48" s="6" t="s">
        <v>2</v>
      </c>
      <c r="H48" s="6" t="s">
        <v>1</v>
      </c>
      <c r="I48" s="5" t="s">
        <v>297</v>
      </c>
      <c r="J48" s="5" t="s">
        <v>298</v>
      </c>
      <c r="K48" s="77" t="s">
        <v>51</v>
      </c>
      <c r="L48" s="61" t="s">
        <v>58</v>
      </c>
      <c r="M48" s="6">
        <v>10</v>
      </c>
      <c r="N48" s="6" t="s">
        <v>39</v>
      </c>
      <c r="O48" s="72">
        <v>45086</v>
      </c>
      <c r="P48" s="70">
        <f t="shared" si="2"/>
        <v>45205</v>
      </c>
      <c r="Q48" s="5" t="s">
        <v>460</v>
      </c>
      <c r="R48" s="6" t="s">
        <v>70</v>
      </c>
      <c r="S48" s="64" t="s">
        <v>424</v>
      </c>
      <c r="T48" s="97" t="str">
        <f t="shared" si="3"/>
        <v>นาย อภิวัฒน์  สุขเจริญ</v>
      </c>
    </row>
    <row r="49" spans="1:20" ht="21.75">
      <c r="A49" s="61">
        <v>42</v>
      </c>
      <c r="B49" s="63" t="s">
        <v>320</v>
      </c>
      <c r="C49" s="63" t="s">
        <v>3</v>
      </c>
      <c r="D49" s="63" t="s">
        <v>317</v>
      </c>
      <c r="E49" s="5" t="s">
        <v>461</v>
      </c>
      <c r="F49" s="6" t="s">
        <v>88</v>
      </c>
      <c r="G49" s="69" t="s">
        <v>2</v>
      </c>
      <c r="H49" s="69" t="s">
        <v>1</v>
      </c>
      <c r="I49" s="5" t="s">
        <v>318</v>
      </c>
      <c r="J49" s="5" t="s">
        <v>276</v>
      </c>
      <c r="K49" s="77" t="s">
        <v>51</v>
      </c>
      <c r="L49" s="61" t="s">
        <v>58</v>
      </c>
      <c r="M49" s="6">
        <v>10</v>
      </c>
      <c r="N49" s="6" t="s">
        <v>39</v>
      </c>
      <c r="O49" s="72">
        <v>45166</v>
      </c>
      <c r="P49" s="70">
        <f t="shared" si="2"/>
        <v>45285</v>
      </c>
      <c r="Q49" s="80" t="s">
        <v>319</v>
      </c>
      <c r="R49" s="6" t="s">
        <v>70</v>
      </c>
      <c r="S49" s="64" t="s">
        <v>434</v>
      </c>
      <c r="T49" s="97" t="str">
        <f t="shared" si="3"/>
        <v>นาย จตุพล  หงษ์สุวรรณ์</v>
      </c>
    </row>
    <row r="50" spans="1:20" ht="21.75">
      <c r="A50" s="61">
        <v>43</v>
      </c>
      <c r="B50" s="63" t="s">
        <v>355</v>
      </c>
      <c r="C50" s="63" t="s">
        <v>3</v>
      </c>
      <c r="D50" s="63" t="s">
        <v>350</v>
      </c>
      <c r="E50" s="63" t="s">
        <v>351</v>
      </c>
      <c r="F50" s="6" t="s">
        <v>88</v>
      </c>
      <c r="G50" s="6" t="s">
        <v>2</v>
      </c>
      <c r="H50" s="6" t="s">
        <v>1</v>
      </c>
      <c r="I50" s="72" t="s">
        <v>352</v>
      </c>
      <c r="J50" s="72" t="s">
        <v>353</v>
      </c>
      <c r="K50" s="77" t="s">
        <v>51</v>
      </c>
      <c r="L50" s="61" t="s">
        <v>58</v>
      </c>
      <c r="M50" s="6">
        <v>10</v>
      </c>
      <c r="N50" s="6" t="s">
        <v>39</v>
      </c>
      <c r="O50" s="72">
        <v>45299</v>
      </c>
      <c r="P50" s="4">
        <f t="shared" ref="P50:P81" si="4">O50+119</f>
        <v>45418</v>
      </c>
      <c r="Q50" s="6" t="s">
        <v>354</v>
      </c>
      <c r="R50" s="6" t="s">
        <v>70</v>
      </c>
      <c r="S50" s="64" t="s">
        <v>435</v>
      </c>
      <c r="T50" s="97" t="str">
        <f t="shared" si="3"/>
        <v>นาย นรินทร์  สีหาไพ</v>
      </c>
    </row>
    <row r="51" spans="1:20" ht="21.75">
      <c r="A51" s="61">
        <v>44</v>
      </c>
      <c r="B51" s="63" t="s">
        <v>552</v>
      </c>
      <c r="C51" s="63" t="s">
        <v>3</v>
      </c>
      <c r="D51" s="64" t="s">
        <v>547</v>
      </c>
      <c r="E51" s="63" t="s">
        <v>548</v>
      </c>
      <c r="F51" s="63" t="s">
        <v>88</v>
      </c>
      <c r="G51" s="63" t="s">
        <v>2</v>
      </c>
      <c r="H51" s="63" t="s">
        <v>1</v>
      </c>
      <c r="I51" s="63" t="s">
        <v>554</v>
      </c>
      <c r="J51" s="63" t="s">
        <v>555</v>
      </c>
      <c r="K51" s="77" t="s">
        <v>51</v>
      </c>
      <c r="L51" s="61" t="s">
        <v>58</v>
      </c>
      <c r="M51" s="6">
        <v>10</v>
      </c>
      <c r="N51" s="6" t="s">
        <v>39</v>
      </c>
      <c r="O51" s="70">
        <v>45875</v>
      </c>
      <c r="P51" s="4">
        <f t="shared" si="4"/>
        <v>45994</v>
      </c>
      <c r="Q51" s="5" t="s">
        <v>558</v>
      </c>
      <c r="R51" s="6" t="s">
        <v>70</v>
      </c>
      <c r="S51" s="5" t="s">
        <v>551</v>
      </c>
      <c r="T51" s="97" t="str">
        <f t="shared" si="3"/>
        <v>นาย เอกภพ  เอี่ยมสอาด</v>
      </c>
    </row>
    <row r="52" spans="1:20" ht="21.75">
      <c r="A52" s="61">
        <v>45</v>
      </c>
      <c r="B52" s="63" t="s">
        <v>553</v>
      </c>
      <c r="C52" s="63" t="s">
        <v>3</v>
      </c>
      <c r="D52" s="64" t="s">
        <v>549</v>
      </c>
      <c r="E52" s="63" t="s">
        <v>550</v>
      </c>
      <c r="F52" s="63" t="s">
        <v>88</v>
      </c>
      <c r="G52" s="63" t="s">
        <v>2</v>
      </c>
      <c r="H52" s="63" t="s">
        <v>1</v>
      </c>
      <c r="I52" s="63" t="s">
        <v>557</v>
      </c>
      <c r="J52" s="63" t="s">
        <v>556</v>
      </c>
      <c r="K52" s="77" t="s">
        <v>51</v>
      </c>
      <c r="L52" s="61" t="s">
        <v>58</v>
      </c>
      <c r="M52" s="6">
        <v>10</v>
      </c>
      <c r="N52" s="6" t="s">
        <v>39</v>
      </c>
      <c r="O52" s="70">
        <v>45875</v>
      </c>
      <c r="P52" s="4">
        <f t="shared" si="4"/>
        <v>45994</v>
      </c>
      <c r="Q52" s="5" t="s">
        <v>559</v>
      </c>
      <c r="R52" s="6" t="s">
        <v>70</v>
      </c>
      <c r="S52" s="5" t="s">
        <v>656</v>
      </c>
      <c r="T52" s="97" t="str">
        <f t="shared" si="3"/>
        <v>นาย ธีระ  พิมพา</v>
      </c>
    </row>
    <row r="53" spans="1:20" ht="21.75">
      <c r="A53" s="61">
        <v>46</v>
      </c>
      <c r="B53" s="6" t="s">
        <v>663</v>
      </c>
      <c r="C53" s="65" t="s">
        <v>3</v>
      </c>
      <c r="D53" s="66" t="s">
        <v>66</v>
      </c>
      <c r="E53" s="6" t="s">
        <v>67</v>
      </c>
      <c r="F53" s="6" t="s">
        <v>88</v>
      </c>
      <c r="G53" s="88" t="s">
        <v>2</v>
      </c>
      <c r="H53" s="6" t="s">
        <v>1</v>
      </c>
      <c r="I53" s="6" t="s">
        <v>68</v>
      </c>
      <c r="J53" s="6" t="s">
        <v>69</v>
      </c>
      <c r="K53" s="77" t="s">
        <v>831</v>
      </c>
      <c r="L53" s="61" t="s">
        <v>58</v>
      </c>
      <c r="M53" s="6">
        <v>11</v>
      </c>
      <c r="N53" s="6" t="s">
        <v>38</v>
      </c>
      <c r="O53" s="70">
        <v>43692</v>
      </c>
      <c r="P53" s="4">
        <f t="shared" si="4"/>
        <v>43811</v>
      </c>
      <c r="Q53" s="5" t="s">
        <v>261</v>
      </c>
      <c r="R53" s="6" t="s">
        <v>70</v>
      </c>
      <c r="S53" s="64"/>
      <c r="T53" s="97" t="str">
        <f t="shared" si="3"/>
        <v>นาย เอกนรินทร์  หัวนา</v>
      </c>
    </row>
    <row r="54" spans="1:20" ht="21.75">
      <c r="A54" s="61">
        <v>47</v>
      </c>
      <c r="B54" s="63" t="s">
        <v>327</v>
      </c>
      <c r="C54" s="63" t="s">
        <v>72</v>
      </c>
      <c r="D54" s="64" t="s">
        <v>140</v>
      </c>
      <c r="E54" s="63" t="s">
        <v>141</v>
      </c>
      <c r="F54" s="6" t="s">
        <v>88</v>
      </c>
      <c r="G54" s="133" t="s">
        <v>75</v>
      </c>
      <c r="H54" s="6" t="s">
        <v>76</v>
      </c>
      <c r="I54" s="63" t="s">
        <v>142</v>
      </c>
      <c r="J54" s="63" t="s">
        <v>143</v>
      </c>
      <c r="K54" s="77" t="s">
        <v>836</v>
      </c>
      <c r="L54" s="61" t="s">
        <v>58</v>
      </c>
      <c r="M54" s="6">
        <v>12</v>
      </c>
      <c r="N54" s="6" t="s">
        <v>38</v>
      </c>
      <c r="O54" s="70">
        <v>44671</v>
      </c>
      <c r="P54" s="4">
        <f t="shared" si="4"/>
        <v>44790</v>
      </c>
      <c r="Q54" s="63" t="s">
        <v>471</v>
      </c>
      <c r="R54" s="6" t="s">
        <v>70</v>
      </c>
      <c r="S54" s="64"/>
      <c r="T54" s="97" t="str">
        <f t="shared" si="3"/>
        <v>นางสาว แพรวนภา  ด้อมกลาง</v>
      </c>
    </row>
    <row r="55" spans="1:20" ht="21.75">
      <c r="A55" s="61">
        <v>48</v>
      </c>
      <c r="B55" s="63" t="s">
        <v>333</v>
      </c>
      <c r="C55" s="63" t="s">
        <v>72</v>
      </c>
      <c r="D55" s="64" t="s">
        <v>163</v>
      </c>
      <c r="E55" s="63" t="s">
        <v>164</v>
      </c>
      <c r="F55" s="63" t="s">
        <v>88</v>
      </c>
      <c r="G55" s="133" t="s">
        <v>75</v>
      </c>
      <c r="H55" s="6" t="s">
        <v>76</v>
      </c>
      <c r="I55" s="63" t="s">
        <v>165</v>
      </c>
      <c r="J55" s="63" t="s">
        <v>166</v>
      </c>
      <c r="K55" s="77" t="s">
        <v>836</v>
      </c>
      <c r="L55" s="61" t="s">
        <v>58</v>
      </c>
      <c r="M55" s="6">
        <v>12</v>
      </c>
      <c r="N55" s="6" t="s">
        <v>38</v>
      </c>
      <c r="O55" s="70">
        <v>44691</v>
      </c>
      <c r="P55" s="4">
        <f t="shared" si="4"/>
        <v>44810</v>
      </c>
      <c r="Q55" s="80" t="s">
        <v>167</v>
      </c>
      <c r="R55" s="6" t="s">
        <v>70</v>
      </c>
      <c r="S55" s="64" t="s">
        <v>433</v>
      </c>
      <c r="T55" s="97" t="str">
        <f t="shared" si="3"/>
        <v>นางสาว สุชาดา  แสนสิงห์</v>
      </c>
    </row>
    <row r="56" spans="1:20" ht="21.75">
      <c r="A56" s="61">
        <v>49</v>
      </c>
      <c r="B56" s="63" t="s">
        <v>372</v>
      </c>
      <c r="C56" s="62" t="s">
        <v>72</v>
      </c>
      <c r="D56" s="62" t="s">
        <v>368</v>
      </c>
      <c r="E56" s="62" t="s">
        <v>369</v>
      </c>
      <c r="F56" s="62" t="s">
        <v>88</v>
      </c>
      <c r="G56" s="90" t="s">
        <v>75</v>
      </c>
      <c r="H56" s="62" t="s">
        <v>76</v>
      </c>
      <c r="I56" s="62" t="s">
        <v>370</v>
      </c>
      <c r="J56" s="62" t="s">
        <v>371</v>
      </c>
      <c r="K56" s="77" t="s">
        <v>836</v>
      </c>
      <c r="L56" s="61" t="s">
        <v>58</v>
      </c>
      <c r="M56" s="6">
        <v>12</v>
      </c>
      <c r="N56" s="62" t="s">
        <v>39</v>
      </c>
      <c r="O56" s="62">
        <v>45404</v>
      </c>
      <c r="P56" s="4">
        <f t="shared" si="4"/>
        <v>45523</v>
      </c>
      <c r="Q56" s="93" t="s">
        <v>367</v>
      </c>
      <c r="R56" s="6" t="s">
        <v>70</v>
      </c>
      <c r="S56" s="64" t="s">
        <v>561</v>
      </c>
      <c r="T56" s="97" t="str">
        <f t="shared" si="3"/>
        <v>นางสาว พัชญ์ชิสา  ยุระศรี</v>
      </c>
    </row>
    <row r="57" spans="1:20" ht="21.75">
      <c r="A57" s="61">
        <v>50</v>
      </c>
      <c r="B57" s="132" t="s">
        <v>743</v>
      </c>
      <c r="C57" s="132" t="s">
        <v>72</v>
      </c>
      <c r="D57" s="141" t="s">
        <v>744</v>
      </c>
      <c r="E57" s="132" t="s">
        <v>141</v>
      </c>
      <c r="F57" s="6" t="s">
        <v>88</v>
      </c>
      <c r="G57" s="73" t="s">
        <v>75</v>
      </c>
      <c r="H57" s="6" t="s">
        <v>76</v>
      </c>
      <c r="I57" s="132" t="s">
        <v>745</v>
      </c>
      <c r="J57" s="132" t="s">
        <v>143</v>
      </c>
      <c r="K57" s="77" t="s">
        <v>836</v>
      </c>
      <c r="L57" s="61" t="s">
        <v>58</v>
      </c>
      <c r="M57" s="6">
        <v>12</v>
      </c>
      <c r="N57" s="6" t="s">
        <v>39</v>
      </c>
      <c r="O57" s="72">
        <v>46146</v>
      </c>
      <c r="P57" s="70">
        <f t="shared" si="4"/>
        <v>46265</v>
      </c>
      <c r="Q57" s="132" t="s">
        <v>751</v>
      </c>
      <c r="R57" s="6" t="s">
        <v>70</v>
      </c>
      <c r="S57" s="64" t="s">
        <v>753</v>
      </c>
      <c r="T57" s="97" t="str">
        <f t="shared" si="3"/>
        <v>นางสาว กนกวรรณ  ด้อมกลาง</v>
      </c>
    </row>
    <row r="58" spans="1:20" ht="21.75">
      <c r="A58" s="61">
        <v>51</v>
      </c>
      <c r="B58" s="64" t="s">
        <v>324</v>
      </c>
      <c r="C58" s="64" t="s">
        <v>3</v>
      </c>
      <c r="D58" s="64" t="s">
        <v>107</v>
      </c>
      <c r="E58" s="64" t="s">
        <v>108</v>
      </c>
      <c r="F58" s="6" t="s">
        <v>87</v>
      </c>
      <c r="G58" s="69" t="s">
        <v>2</v>
      </c>
      <c r="H58" s="69" t="s">
        <v>1</v>
      </c>
      <c r="I58" s="63" t="s">
        <v>109</v>
      </c>
      <c r="J58" s="72" t="s">
        <v>110</v>
      </c>
      <c r="K58" s="96" t="s">
        <v>50</v>
      </c>
      <c r="L58" s="61" t="s">
        <v>58</v>
      </c>
      <c r="M58" s="6">
        <v>4</v>
      </c>
      <c r="N58" s="6" t="s">
        <v>38</v>
      </c>
      <c r="O58" s="70">
        <v>44620</v>
      </c>
      <c r="P58" s="4">
        <f t="shared" si="4"/>
        <v>44739</v>
      </c>
      <c r="Q58" s="80" t="s">
        <v>452</v>
      </c>
      <c r="R58" s="6" t="s">
        <v>70</v>
      </c>
      <c r="S58" s="64" t="s">
        <v>416</v>
      </c>
      <c r="T58" s="97" t="str">
        <f t="shared" si="3"/>
        <v>นาย ภุชงค์  เป็กษา</v>
      </c>
    </row>
    <row r="59" spans="1:20" ht="21.75">
      <c r="A59" s="61">
        <v>52</v>
      </c>
      <c r="B59" s="81" t="s">
        <v>340</v>
      </c>
      <c r="C59" s="72" t="s">
        <v>3</v>
      </c>
      <c r="D59" s="72" t="s">
        <v>180</v>
      </c>
      <c r="E59" s="72" t="s">
        <v>181</v>
      </c>
      <c r="F59" s="63" t="s">
        <v>87</v>
      </c>
      <c r="G59" s="74" t="s">
        <v>2</v>
      </c>
      <c r="H59" s="74" t="s">
        <v>1</v>
      </c>
      <c r="I59" s="72" t="s">
        <v>188</v>
      </c>
      <c r="J59" s="72" t="s">
        <v>189</v>
      </c>
      <c r="K59" s="96" t="s">
        <v>50</v>
      </c>
      <c r="L59" s="61" t="s">
        <v>58</v>
      </c>
      <c r="M59" s="6">
        <v>4</v>
      </c>
      <c r="N59" s="6" t="s">
        <v>38</v>
      </c>
      <c r="O59" s="70">
        <v>44708</v>
      </c>
      <c r="P59" s="4">
        <f t="shared" si="4"/>
        <v>44827</v>
      </c>
      <c r="Q59" s="80" t="s">
        <v>194</v>
      </c>
      <c r="R59" s="6" t="s">
        <v>70</v>
      </c>
      <c r="S59" s="64" t="s">
        <v>417</v>
      </c>
      <c r="T59" s="97" t="str">
        <f t="shared" si="3"/>
        <v>นาย วิทยา  บูรณะ</v>
      </c>
    </row>
    <row r="60" spans="1:20" ht="21.75">
      <c r="A60" s="61">
        <v>53</v>
      </c>
      <c r="B60" s="81" t="s">
        <v>341</v>
      </c>
      <c r="C60" s="72" t="s">
        <v>3</v>
      </c>
      <c r="D60" s="72" t="s">
        <v>182</v>
      </c>
      <c r="E60" s="72" t="s">
        <v>183</v>
      </c>
      <c r="F60" s="63" t="s">
        <v>87</v>
      </c>
      <c r="G60" s="74" t="s">
        <v>2</v>
      </c>
      <c r="H60" s="74" t="s">
        <v>1</v>
      </c>
      <c r="I60" s="72" t="s">
        <v>190</v>
      </c>
      <c r="J60" s="72" t="s">
        <v>191</v>
      </c>
      <c r="K60" s="96" t="s">
        <v>50</v>
      </c>
      <c r="L60" s="61" t="s">
        <v>58</v>
      </c>
      <c r="M60" s="6">
        <v>4</v>
      </c>
      <c r="N60" s="6" t="s">
        <v>38</v>
      </c>
      <c r="O60" s="70">
        <v>44708</v>
      </c>
      <c r="P60" s="70">
        <f t="shared" si="4"/>
        <v>44827</v>
      </c>
      <c r="Q60" s="63" t="s">
        <v>195</v>
      </c>
      <c r="R60" s="6" t="s">
        <v>70</v>
      </c>
      <c r="S60" s="64" t="s">
        <v>418</v>
      </c>
      <c r="T60" s="97" t="str">
        <f t="shared" si="3"/>
        <v>นาย มณีนทร  เหล่าภักดี</v>
      </c>
    </row>
    <row r="61" spans="1:20" ht="21.75">
      <c r="A61" s="61">
        <v>54</v>
      </c>
      <c r="B61" s="63" t="s">
        <v>345</v>
      </c>
      <c r="C61" s="63" t="s">
        <v>72</v>
      </c>
      <c r="D61" s="63" t="s">
        <v>218</v>
      </c>
      <c r="E61" s="63" t="s">
        <v>219</v>
      </c>
      <c r="F61" s="6" t="s">
        <v>87</v>
      </c>
      <c r="G61" s="73" t="s">
        <v>75</v>
      </c>
      <c r="H61" s="6" t="s">
        <v>76</v>
      </c>
      <c r="I61" s="63" t="s">
        <v>220</v>
      </c>
      <c r="J61" s="63" t="s">
        <v>221</v>
      </c>
      <c r="K61" s="77" t="s">
        <v>841</v>
      </c>
      <c r="L61" s="61" t="s">
        <v>58</v>
      </c>
      <c r="M61" s="6">
        <v>5</v>
      </c>
      <c r="N61" s="6" t="s">
        <v>38</v>
      </c>
      <c r="O61" s="70">
        <v>44763</v>
      </c>
      <c r="P61" s="4">
        <f t="shared" si="4"/>
        <v>44882</v>
      </c>
      <c r="Q61" s="6" t="s">
        <v>222</v>
      </c>
      <c r="R61" s="6" t="s">
        <v>70</v>
      </c>
      <c r="S61" s="64" t="s">
        <v>419</v>
      </c>
      <c r="T61" s="97" t="str">
        <f t="shared" si="3"/>
        <v>นางสาว รัตธิกา  สิมลา</v>
      </c>
    </row>
    <row r="62" spans="1:20" ht="21.75">
      <c r="A62" s="61">
        <v>55</v>
      </c>
      <c r="B62" s="6" t="s">
        <v>95</v>
      </c>
      <c r="C62" s="94" t="s">
        <v>3</v>
      </c>
      <c r="D62" s="66" t="s">
        <v>96</v>
      </c>
      <c r="E62" s="6" t="s">
        <v>97</v>
      </c>
      <c r="F62" s="6" t="s">
        <v>87</v>
      </c>
      <c r="G62" s="94" t="s">
        <v>2</v>
      </c>
      <c r="H62" s="94" t="s">
        <v>1</v>
      </c>
      <c r="I62" s="6" t="s">
        <v>98</v>
      </c>
      <c r="J62" s="6" t="s">
        <v>99</v>
      </c>
      <c r="K62" s="66" t="s">
        <v>834</v>
      </c>
      <c r="L62" s="61" t="s">
        <v>58</v>
      </c>
      <c r="M62" s="6">
        <v>9</v>
      </c>
      <c r="N62" s="6" t="s">
        <v>38</v>
      </c>
      <c r="O62" s="70">
        <v>40575</v>
      </c>
      <c r="P62" s="4">
        <f t="shared" si="4"/>
        <v>40694</v>
      </c>
      <c r="Q62" s="6" t="s">
        <v>453</v>
      </c>
      <c r="R62" s="6" t="s">
        <v>70</v>
      </c>
      <c r="S62" s="64"/>
      <c r="T62" s="97" t="str">
        <f t="shared" si="3"/>
        <v>นาย อำนวย  พันธุ์ยาง</v>
      </c>
    </row>
    <row r="63" spans="1:20" ht="21.75">
      <c r="A63" s="61">
        <v>56</v>
      </c>
      <c r="B63" s="73" t="s">
        <v>90</v>
      </c>
      <c r="C63" s="65" t="s">
        <v>3</v>
      </c>
      <c r="D63" s="66" t="s">
        <v>91</v>
      </c>
      <c r="E63" s="6" t="s">
        <v>92</v>
      </c>
      <c r="F63" s="6" t="s">
        <v>87</v>
      </c>
      <c r="G63" s="6" t="s">
        <v>2</v>
      </c>
      <c r="H63" s="6" t="s">
        <v>1</v>
      </c>
      <c r="I63" s="6" t="s">
        <v>93</v>
      </c>
      <c r="J63" s="6" t="s">
        <v>94</v>
      </c>
      <c r="K63" s="66" t="s">
        <v>838</v>
      </c>
      <c r="L63" s="61" t="s">
        <v>58</v>
      </c>
      <c r="M63" s="6">
        <v>9</v>
      </c>
      <c r="N63" s="6" t="s">
        <v>38</v>
      </c>
      <c r="O63" s="70">
        <v>42888</v>
      </c>
      <c r="P63" s="70">
        <f t="shared" si="4"/>
        <v>43007</v>
      </c>
      <c r="Q63" s="5" t="s">
        <v>454</v>
      </c>
      <c r="R63" s="6" t="s">
        <v>70</v>
      </c>
      <c r="S63" s="64"/>
      <c r="T63" s="97" t="str">
        <f t="shared" si="3"/>
        <v>นาย สมภพ   เสียงดี</v>
      </c>
    </row>
    <row r="64" spans="1:20" ht="21.75">
      <c r="A64" s="61">
        <v>57</v>
      </c>
      <c r="B64" s="63" t="s">
        <v>325</v>
      </c>
      <c r="C64" s="63" t="s">
        <v>3</v>
      </c>
      <c r="D64" s="64" t="s">
        <v>128</v>
      </c>
      <c r="E64" s="63" t="s">
        <v>129</v>
      </c>
      <c r="F64" s="6" t="s">
        <v>87</v>
      </c>
      <c r="G64" s="69" t="s">
        <v>2</v>
      </c>
      <c r="H64" s="69" t="s">
        <v>1</v>
      </c>
      <c r="I64" s="63" t="s">
        <v>130</v>
      </c>
      <c r="J64" s="63" t="s">
        <v>131</v>
      </c>
      <c r="K64" s="66" t="s">
        <v>0</v>
      </c>
      <c r="L64" s="61" t="s">
        <v>58</v>
      </c>
      <c r="M64" s="6">
        <v>9</v>
      </c>
      <c r="N64" s="6" t="s">
        <v>38</v>
      </c>
      <c r="O64" s="70">
        <v>44644</v>
      </c>
      <c r="P64" s="4">
        <f t="shared" si="4"/>
        <v>44763</v>
      </c>
      <c r="Q64" s="80" t="s">
        <v>455</v>
      </c>
      <c r="R64" s="6" t="s">
        <v>70</v>
      </c>
      <c r="S64" s="64"/>
      <c r="T64" s="97" t="str">
        <f t="shared" si="3"/>
        <v>นาย บูรณ์พิภพ  นพเคราะห์</v>
      </c>
    </row>
    <row r="65" spans="1:20" ht="21.75">
      <c r="A65" s="61">
        <v>58</v>
      </c>
      <c r="B65" s="81" t="s">
        <v>225</v>
      </c>
      <c r="C65" s="72" t="s">
        <v>3</v>
      </c>
      <c r="D65" s="72" t="s">
        <v>226</v>
      </c>
      <c r="E65" s="72" t="s">
        <v>177</v>
      </c>
      <c r="F65" s="6" t="s">
        <v>87</v>
      </c>
      <c r="G65" s="74" t="s">
        <v>2</v>
      </c>
      <c r="H65" s="74" t="s">
        <v>1</v>
      </c>
      <c r="I65" s="72" t="s">
        <v>227</v>
      </c>
      <c r="J65" s="72" t="s">
        <v>186</v>
      </c>
      <c r="K65" s="66" t="s">
        <v>0</v>
      </c>
      <c r="L65" s="61" t="s">
        <v>58</v>
      </c>
      <c r="M65" s="6">
        <v>9</v>
      </c>
      <c r="N65" s="6" t="s">
        <v>39</v>
      </c>
      <c r="O65" s="72">
        <v>44783</v>
      </c>
      <c r="P65" s="70">
        <f t="shared" si="4"/>
        <v>44902</v>
      </c>
      <c r="Q65" s="5" t="s">
        <v>228</v>
      </c>
      <c r="R65" s="5" t="s">
        <v>241</v>
      </c>
      <c r="S65" s="64" t="s">
        <v>425</v>
      </c>
      <c r="T65" s="97" t="str">
        <f t="shared" si="3"/>
        <v>นาย ขวัญมนัส  นักระบำ</v>
      </c>
    </row>
    <row r="66" spans="1:20" ht="21.75">
      <c r="A66" s="61">
        <v>59</v>
      </c>
      <c r="B66" s="63" t="s">
        <v>247</v>
      </c>
      <c r="C66" s="63" t="s">
        <v>3</v>
      </c>
      <c r="D66" s="63" t="s">
        <v>253</v>
      </c>
      <c r="E66" s="5" t="s">
        <v>248</v>
      </c>
      <c r="F66" s="6" t="s">
        <v>87</v>
      </c>
      <c r="G66" s="6" t="s">
        <v>2</v>
      </c>
      <c r="H66" s="6" t="s">
        <v>1</v>
      </c>
      <c r="I66" s="5" t="s">
        <v>249</v>
      </c>
      <c r="J66" s="5" t="s">
        <v>250</v>
      </c>
      <c r="K66" s="66" t="s">
        <v>0</v>
      </c>
      <c r="L66" s="61" t="s">
        <v>58</v>
      </c>
      <c r="M66" s="6">
        <v>9</v>
      </c>
      <c r="N66" s="6" t="s">
        <v>39</v>
      </c>
      <c r="O66" s="70">
        <v>44931</v>
      </c>
      <c r="P66" s="4">
        <f t="shared" si="4"/>
        <v>45050</v>
      </c>
      <c r="Q66" s="5" t="s">
        <v>251</v>
      </c>
      <c r="R66" s="6" t="s">
        <v>70</v>
      </c>
      <c r="S66" s="64" t="s">
        <v>427</v>
      </c>
      <c r="T66" s="97" t="str">
        <f t="shared" si="3"/>
        <v>นาย พีรวัฒน์  พันธ์เพ็ง</v>
      </c>
    </row>
    <row r="67" spans="1:20" ht="21.75">
      <c r="A67" s="61">
        <v>60</v>
      </c>
      <c r="B67" s="63" t="s">
        <v>288</v>
      </c>
      <c r="C67" s="63" t="s">
        <v>3</v>
      </c>
      <c r="D67" s="63" t="s">
        <v>283</v>
      </c>
      <c r="E67" s="5" t="s">
        <v>284</v>
      </c>
      <c r="F67" s="6" t="s">
        <v>87</v>
      </c>
      <c r="G67" s="74" t="s">
        <v>2</v>
      </c>
      <c r="H67" s="74" t="s">
        <v>1</v>
      </c>
      <c r="I67" s="5" t="s">
        <v>285</v>
      </c>
      <c r="J67" s="5" t="s">
        <v>286</v>
      </c>
      <c r="K67" s="66" t="s">
        <v>0</v>
      </c>
      <c r="L67" s="61" t="s">
        <v>58</v>
      </c>
      <c r="M67" s="6">
        <v>9</v>
      </c>
      <c r="N67" s="6" t="s">
        <v>39</v>
      </c>
      <c r="O67" s="72">
        <v>45063</v>
      </c>
      <c r="P67" s="70">
        <f t="shared" si="4"/>
        <v>45182</v>
      </c>
      <c r="Q67" s="5" t="s">
        <v>287</v>
      </c>
      <c r="R67" s="6" t="s">
        <v>70</v>
      </c>
      <c r="S67" s="64" t="s">
        <v>432</v>
      </c>
      <c r="T67" s="97" t="str">
        <f t="shared" si="3"/>
        <v>นาย พนม  ทรชน</v>
      </c>
    </row>
    <row r="68" spans="1:20" ht="21.75">
      <c r="A68" s="61">
        <v>61</v>
      </c>
      <c r="B68" s="62" t="s">
        <v>402</v>
      </c>
      <c r="C68" s="62" t="s">
        <v>3</v>
      </c>
      <c r="D68" s="62" t="s">
        <v>403</v>
      </c>
      <c r="E68" s="62" t="s">
        <v>404</v>
      </c>
      <c r="F68" s="6" t="s">
        <v>87</v>
      </c>
      <c r="G68" s="62" t="s">
        <v>2</v>
      </c>
      <c r="H68" s="62" t="s">
        <v>1</v>
      </c>
      <c r="I68" s="62" t="s">
        <v>405</v>
      </c>
      <c r="J68" s="62" t="s">
        <v>406</v>
      </c>
      <c r="K68" s="66" t="s">
        <v>0</v>
      </c>
      <c r="L68" s="61" t="s">
        <v>58</v>
      </c>
      <c r="M68" s="6">
        <v>9</v>
      </c>
      <c r="N68" s="6" t="s">
        <v>39</v>
      </c>
      <c r="O68" s="62">
        <v>45532</v>
      </c>
      <c r="P68" s="62">
        <f t="shared" si="4"/>
        <v>45651</v>
      </c>
      <c r="Q68" s="62" t="s">
        <v>407</v>
      </c>
      <c r="R68" s="62" t="s">
        <v>70</v>
      </c>
      <c r="S68" s="5" t="s">
        <v>436</v>
      </c>
      <c r="T68" s="97" t="str">
        <f t="shared" si="3"/>
        <v>นาย อัครพนธ์  พื้นดอนเค็ง</v>
      </c>
    </row>
    <row r="69" spans="1:20" ht="21.75">
      <c r="A69" s="61">
        <v>62</v>
      </c>
      <c r="B69" s="63" t="s">
        <v>464</v>
      </c>
      <c r="C69" s="63" t="s">
        <v>3</v>
      </c>
      <c r="D69" s="63" t="s">
        <v>465</v>
      </c>
      <c r="E69" s="63" t="s">
        <v>466</v>
      </c>
      <c r="F69" s="6" t="s">
        <v>87</v>
      </c>
      <c r="G69" s="74" t="s">
        <v>2</v>
      </c>
      <c r="H69" s="74" t="s">
        <v>1</v>
      </c>
      <c r="I69" s="63" t="s">
        <v>467</v>
      </c>
      <c r="J69" s="63" t="s">
        <v>468</v>
      </c>
      <c r="K69" s="66" t="s">
        <v>0</v>
      </c>
      <c r="L69" s="61" t="s">
        <v>58</v>
      </c>
      <c r="M69" s="6">
        <v>9</v>
      </c>
      <c r="N69" s="6" t="s">
        <v>39</v>
      </c>
      <c r="O69" s="72">
        <v>45692</v>
      </c>
      <c r="P69" s="70">
        <f t="shared" si="4"/>
        <v>45811</v>
      </c>
      <c r="Q69" s="63" t="s">
        <v>469</v>
      </c>
      <c r="R69" s="6" t="s">
        <v>70</v>
      </c>
      <c r="S69" s="64" t="s">
        <v>470</v>
      </c>
      <c r="T69" s="97" t="str">
        <f t="shared" si="3"/>
        <v>นาย กรวิวัฒน์  สายแสง</v>
      </c>
    </row>
    <row r="70" spans="1:20" ht="21.75">
      <c r="A70" s="61">
        <v>63</v>
      </c>
      <c r="B70" s="63" t="s">
        <v>488</v>
      </c>
      <c r="C70" s="63" t="s">
        <v>3</v>
      </c>
      <c r="D70" s="63" t="s">
        <v>482</v>
      </c>
      <c r="E70" s="63" t="s">
        <v>483</v>
      </c>
      <c r="F70" s="6" t="s">
        <v>87</v>
      </c>
      <c r="G70" s="74" t="s">
        <v>2</v>
      </c>
      <c r="H70" s="74" t="s">
        <v>1</v>
      </c>
      <c r="I70" s="5" t="s">
        <v>484</v>
      </c>
      <c r="J70" s="5" t="s">
        <v>485</v>
      </c>
      <c r="K70" s="66" t="s">
        <v>0</v>
      </c>
      <c r="L70" s="61" t="s">
        <v>58</v>
      </c>
      <c r="M70" s="6">
        <v>9</v>
      </c>
      <c r="N70" s="6" t="s">
        <v>39</v>
      </c>
      <c r="O70" s="72">
        <v>45719</v>
      </c>
      <c r="P70" s="70">
        <f t="shared" si="4"/>
        <v>45838</v>
      </c>
      <c r="Q70" s="95" t="s">
        <v>486</v>
      </c>
      <c r="R70" s="6" t="s">
        <v>70</v>
      </c>
      <c r="S70" s="5" t="s">
        <v>487</v>
      </c>
      <c r="T70" s="97" t="str">
        <f t="shared" si="3"/>
        <v>นาย รังสรรค์  อักษรณรงค์</v>
      </c>
    </row>
    <row r="71" spans="1:20" ht="21.75">
      <c r="A71" s="61">
        <v>64</v>
      </c>
      <c r="B71" s="63" t="s">
        <v>490</v>
      </c>
      <c r="C71" s="63" t="s">
        <v>3</v>
      </c>
      <c r="D71" s="63" t="s">
        <v>492</v>
      </c>
      <c r="E71" s="63" t="s">
        <v>493</v>
      </c>
      <c r="F71" s="6" t="s">
        <v>87</v>
      </c>
      <c r="G71" s="72" t="s">
        <v>2</v>
      </c>
      <c r="H71" s="72" t="s">
        <v>1</v>
      </c>
      <c r="I71" s="63" t="s">
        <v>496</v>
      </c>
      <c r="J71" s="63" t="s">
        <v>497</v>
      </c>
      <c r="K71" s="66" t="s">
        <v>0</v>
      </c>
      <c r="L71" s="61" t="s">
        <v>58</v>
      </c>
      <c r="M71" s="6">
        <v>9</v>
      </c>
      <c r="N71" s="6" t="s">
        <v>39</v>
      </c>
      <c r="O71" s="72">
        <v>45769</v>
      </c>
      <c r="P71" s="70">
        <f t="shared" si="4"/>
        <v>45888</v>
      </c>
      <c r="Q71" s="64" t="s">
        <v>500</v>
      </c>
      <c r="R71" s="6" t="s">
        <v>70</v>
      </c>
      <c r="S71" s="64" t="s">
        <v>502</v>
      </c>
      <c r="T71" s="97" t="str">
        <f t="shared" si="3"/>
        <v>นาย อัครพล  พิมพ์ประโคน</v>
      </c>
    </row>
    <row r="72" spans="1:20" ht="21.75">
      <c r="A72" s="61">
        <v>65</v>
      </c>
      <c r="B72" s="63" t="s">
        <v>491</v>
      </c>
      <c r="C72" s="63" t="s">
        <v>3</v>
      </c>
      <c r="D72" s="63" t="s">
        <v>494</v>
      </c>
      <c r="E72" s="63" t="s">
        <v>495</v>
      </c>
      <c r="F72" s="6" t="s">
        <v>87</v>
      </c>
      <c r="G72" s="72" t="s">
        <v>2</v>
      </c>
      <c r="H72" s="72" t="s">
        <v>1</v>
      </c>
      <c r="I72" s="63" t="s">
        <v>498</v>
      </c>
      <c r="J72" s="63" t="s">
        <v>499</v>
      </c>
      <c r="K72" s="66" t="s">
        <v>0</v>
      </c>
      <c r="L72" s="61" t="s">
        <v>58</v>
      </c>
      <c r="M72" s="6">
        <v>9</v>
      </c>
      <c r="N72" s="6" t="s">
        <v>39</v>
      </c>
      <c r="O72" s="72">
        <v>45769</v>
      </c>
      <c r="P72" s="70">
        <f t="shared" si="4"/>
        <v>45888</v>
      </c>
      <c r="Q72" s="64" t="s">
        <v>501</v>
      </c>
      <c r="R72" s="6" t="s">
        <v>70</v>
      </c>
      <c r="S72" s="64" t="s">
        <v>503</v>
      </c>
      <c r="T72" s="97" t="str">
        <f t="shared" ref="T72:T101" si="5">C72&amp;" "&amp;D72&amp;"  "&amp;E72</f>
        <v>นาย ชนินทร์  ปะทะรัมย์</v>
      </c>
    </row>
    <row r="73" spans="1:20" ht="21.75">
      <c r="A73" s="61">
        <v>66</v>
      </c>
      <c r="B73" s="63" t="s">
        <v>504</v>
      </c>
      <c r="C73" s="63" t="s">
        <v>3</v>
      </c>
      <c r="D73" s="63" t="s">
        <v>230</v>
      </c>
      <c r="E73" s="63" t="s">
        <v>505</v>
      </c>
      <c r="F73" s="6" t="s">
        <v>87</v>
      </c>
      <c r="G73" s="74" t="s">
        <v>2</v>
      </c>
      <c r="H73" s="74" t="s">
        <v>1</v>
      </c>
      <c r="I73" s="63" t="s">
        <v>233</v>
      </c>
      <c r="J73" s="63" t="s">
        <v>506</v>
      </c>
      <c r="K73" s="66" t="s">
        <v>0</v>
      </c>
      <c r="L73" s="61" t="s">
        <v>58</v>
      </c>
      <c r="M73" s="6">
        <v>9</v>
      </c>
      <c r="N73" s="6" t="s">
        <v>39</v>
      </c>
      <c r="O73" s="72">
        <v>45783</v>
      </c>
      <c r="P73" s="70">
        <f t="shared" si="4"/>
        <v>45902</v>
      </c>
      <c r="Q73" s="64" t="s">
        <v>507</v>
      </c>
      <c r="R73" s="6" t="s">
        <v>70</v>
      </c>
      <c r="S73" s="64" t="s">
        <v>508</v>
      </c>
      <c r="T73" s="97" t="str">
        <f t="shared" si="5"/>
        <v>นาย ยุทธนา  ทุมขุนทด</v>
      </c>
    </row>
    <row r="74" spans="1:20" ht="21.75">
      <c r="A74" s="61">
        <v>67</v>
      </c>
      <c r="B74" s="63" t="s">
        <v>538</v>
      </c>
      <c r="C74" s="63" t="s">
        <v>3</v>
      </c>
      <c r="D74" s="64" t="s">
        <v>534</v>
      </c>
      <c r="E74" s="63" t="s">
        <v>535</v>
      </c>
      <c r="F74" s="6" t="s">
        <v>87</v>
      </c>
      <c r="G74" s="63" t="s">
        <v>2</v>
      </c>
      <c r="H74" s="63" t="s">
        <v>1</v>
      </c>
      <c r="I74" s="63" t="s">
        <v>541</v>
      </c>
      <c r="J74" s="63" t="s">
        <v>542</v>
      </c>
      <c r="K74" s="66" t="s">
        <v>0</v>
      </c>
      <c r="L74" s="61" t="s">
        <v>58</v>
      </c>
      <c r="M74" s="63">
        <v>9</v>
      </c>
      <c r="N74" s="6" t="s">
        <v>39</v>
      </c>
      <c r="O74" s="70">
        <v>45870</v>
      </c>
      <c r="P74" s="4">
        <f t="shared" si="4"/>
        <v>45989</v>
      </c>
      <c r="Q74" s="5" t="s">
        <v>544</v>
      </c>
      <c r="R74" s="6" t="s">
        <v>70</v>
      </c>
      <c r="S74" s="5" t="s">
        <v>546</v>
      </c>
      <c r="T74" s="97" t="str">
        <f t="shared" si="5"/>
        <v>นาย เจษฎา  บุญทน</v>
      </c>
    </row>
    <row r="75" spans="1:20" ht="21.75">
      <c r="A75" s="61">
        <v>68</v>
      </c>
      <c r="B75" s="63" t="s">
        <v>577</v>
      </c>
      <c r="C75" s="63" t="s">
        <v>3</v>
      </c>
      <c r="D75" s="63" t="s">
        <v>573</v>
      </c>
      <c r="E75" s="63" t="s">
        <v>574</v>
      </c>
      <c r="F75" s="72" t="s">
        <v>87</v>
      </c>
      <c r="G75" s="72" t="s">
        <v>2</v>
      </c>
      <c r="H75" s="72" t="s">
        <v>1</v>
      </c>
      <c r="I75" s="63" t="s">
        <v>575</v>
      </c>
      <c r="J75" s="63" t="s">
        <v>576</v>
      </c>
      <c r="K75" s="66" t="s">
        <v>834</v>
      </c>
      <c r="L75" s="61" t="s">
        <v>58</v>
      </c>
      <c r="M75" s="6">
        <v>9</v>
      </c>
      <c r="N75" s="6" t="s">
        <v>39</v>
      </c>
      <c r="O75" s="72">
        <v>45915</v>
      </c>
      <c r="P75" s="70">
        <f t="shared" si="4"/>
        <v>46034</v>
      </c>
      <c r="Q75" s="63" t="s">
        <v>578</v>
      </c>
      <c r="R75" s="6" t="s">
        <v>70</v>
      </c>
      <c r="S75" s="64" t="s">
        <v>851</v>
      </c>
      <c r="T75" s="97" t="str">
        <f t="shared" si="5"/>
        <v>นาย ธีรภัทร  ชารี</v>
      </c>
    </row>
    <row r="76" spans="1:20" ht="21.75">
      <c r="A76" s="61">
        <v>69</v>
      </c>
      <c r="B76" s="63" t="s">
        <v>649</v>
      </c>
      <c r="C76" s="63" t="s">
        <v>3</v>
      </c>
      <c r="D76" s="63" t="s">
        <v>648</v>
      </c>
      <c r="E76" s="63" t="s">
        <v>650</v>
      </c>
      <c r="F76" s="6" t="s">
        <v>87</v>
      </c>
      <c r="G76" s="6" t="s">
        <v>2</v>
      </c>
      <c r="H76" s="6" t="s">
        <v>1</v>
      </c>
      <c r="I76" s="63" t="s">
        <v>651</v>
      </c>
      <c r="J76" s="63" t="s">
        <v>652</v>
      </c>
      <c r="K76" s="66" t="s">
        <v>0</v>
      </c>
      <c r="L76" s="61" t="s">
        <v>58</v>
      </c>
      <c r="M76" s="6">
        <v>9</v>
      </c>
      <c r="N76" s="6" t="s">
        <v>39</v>
      </c>
      <c r="O76" s="72">
        <v>45974</v>
      </c>
      <c r="P76" s="70">
        <f t="shared" si="4"/>
        <v>46093</v>
      </c>
      <c r="Q76" s="63" t="s">
        <v>653</v>
      </c>
      <c r="R76" s="6" t="s">
        <v>70</v>
      </c>
      <c r="S76" s="64" t="s">
        <v>654</v>
      </c>
      <c r="T76" s="97" t="str">
        <f t="shared" si="5"/>
        <v>นาย ชีระวิทย์  อยู่ยืน</v>
      </c>
    </row>
    <row r="77" spans="1:20" ht="21.75">
      <c r="A77" s="61">
        <v>70</v>
      </c>
      <c r="B77" s="63" t="s">
        <v>661</v>
      </c>
      <c r="C77" s="63" t="s">
        <v>3</v>
      </c>
      <c r="D77" s="63" t="s">
        <v>657</v>
      </c>
      <c r="E77" s="63" t="s">
        <v>311</v>
      </c>
      <c r="F77" s="6" t="s">
        <v>87</v>
      </c>
      <c r="G77" s="6" t="s">
        <v>2</v>
      </c>
      <c r="H77" s="6" t="s">
        <v>1</v>
      </c>
      <c r="I77" s="63" t="s">
        <v>658</v>
      </c>
      <c r="J77" s="63" t="s">
        <v>313</v>
      </c>
      <c r="K77" s="66" t="s">
        <v>0</v>
      </c>
      <c r="L77" s="61" t="s">
        <v>58</v>
      </c>
      <c r="M77" s="6">
        <v>9</v>
      </c>
      <c r="N77" s="6" t="s">
        <v>39</v>
      </c>
      <c r="O77" s="72">
        <v>45982</v>
      </c>
      <c r="P77" s="70">
        <f t="shared" si="4"/>
        <v>46101</v>
      </c>
      <c r="Q77" s="63" t="s">
        <v>659</v>
      </c>
      <c r="R77" s="6" t="s">
        <v>70</v>
      </c>
      <c r="S77" s="64" t="s">
        <v>660</v>
      </c>
      <c r="T77" s="97" t="str">
        <f t="shared" si="5"/>
        <v>นาย ปิยะ  ด้วงบุดดี</v>
      </c>
    </row>
    <row r="78" spans="1:20" ht="21.75">
      <c r="A78" s="61">
        <v>71</v>
      </c>
      <c r="B78" s="132" t="s">
        <v>666</v>
      </c>
      <c r="C78" s="132" t="s">
        <v>3</v>
      </c>
      <c r="D78" s="132" t="s">
        <v>667</v>
      </c>
      <c r="E78" s="132" t="s">
        <v>668</v>
      </c>
      <c r="F78" s="6" t="s">
        <v>87</v>
      </c>
      <c r="G78" s="73" t="s">
        <v>75</v>
      </c>
      <c r="H78" s="6" t="s">
        <v>76</v>
      </c>
      <c r="I78" s="132" t="s">
        <v>669</v>
      </c>
      <c r="J78" s="132" t="s">
        <v>670</v>
      </c>
      <c r="K78" s="66" t="s">
        <v>0</v>
      </c>
      <c r="L78" s="61" t="s">
        <v>58</v>
      </c>
      <c r="M78" s="6">
        <v>9</v>
      </c>
      <c r="N78" s="6" t="s">
        <v>39</v>
      </c>
      <c r="O78" s="72">
        <v>46041</v>
      </c>
      <c r="P78" s="70">
        <f t="shared" si="4"/>
        <v>46160</v>
      </c>
      <c r="Q78" s="132" t="s">
        <v>671</v>
      </c>
      <c r="R78" s="6" t="s">
        <v>70</v>
      </c>
      <c r="S78" s="64" t="s">
        <v>672</v>
      </c>
      <c r="T78" s="97" t="str">
        <f t="shared" si="5"/>
        <v>นาย กิตติทัต  นิลศิริ</v>
      </c>
    </row>
    <row r="79" spans="1:20" ht="21.75">
      <c r="A79" s="61">
        <v>72</v>
      </c>
      <c r="B79" s="132" t="s">
        <v>673</v>
      </c>
      <c r="C79" s="132" t="s">
        <v>3</v>
      </c>
      <c r="D79" s="132" t="s">
        <v>674</v>
      </c>
      <c r="E79" s="132" t="s">
        <v>675</v>
      </c>
      <c r="F79" s="6" t="s">
        <v>87</v>
      </c>
      <c r="G79" s="74" t="s">
        <v>2</v>
      </c>
      <c r="H79" s="74" t="s">
        <v>1</v>
      </c>
      <c r="I79" s="132" t="s">
        <v>676</v>
      </c>
      <c r="J79" s="132" t="s">
        <v>677</v>
      </c>
      <c r="K79" s="66" t="s">
        <v>0</v>
      </c>
      <c r="L79" s="61" t="s">
        <v>58</v>
      </c>
      <c r="M79" s="6">
        <v>9</v>
      </c>
      <c r="N79" s="6" t="s">
        <v>39</v>
      </c>
      <c r="O79" s="72">
        <v>46043</v>
      </c>
      <c r="P79" s="70">
        <f t="shared" si="4"/>
        <v>46162</v>
      </c>
      <c r="Q79" s="132" t="s">
        <v>678</v>
      </c>
      <c r="R79" s="6" t="s">
        <v>70</v>
      </c>
      <c r="S79" s="64" t="s">
        <v>679</v>
      </c>
      <c r="T79" s="97" t="str">
        <f t="shared" si="5"/>
        <v>นาย คชานนท์  สิทธิจันทร์</v>
      </c>
    </row>
    <row r="80" spans="1:20" ht="21.75">
      <c r="A80" s="61">
        <v>73</v>
      </c>
      <c r="B80" s="132" t="s">
        <v>686</v>
      </c>
      <c r="C80" s="132" t="s">
        <v>3</v>
      </c>
      <c r="D80" s="132" t="s">
        <v>687</v>
      </c>
      <c r="E80" s="132" t="s">
        <v>688</v>
      </c>
      <c r="F80" s="6" t="s">
        <v>87</v>
      </c>
      <c r="G80" s="74" t="s">
        <v>2</v>
      </c>
      <c r="H80" s="74" t="s">
        <v>1</v>
      </c>
      <c r="I80" s="132" t="s">
        <v>689</v>
      </c>
      <c r="J80" s="132" t="s">
        <v>690</v>
      </c>
      <c r="K80" s="66" t="s">
        <v>0</v>
      </c>
      <c r="L80" s="61" t="s">
        <v>58</v>
      </c>
      <c r="M80" s="6">
        <v>9</v>
      </c>
      <c r="N80" s="6" t="s">
        <v>39</v>
      </c>
      <c r="O80" s="72">
        <v>46044</v>
      </c>
      <c r="P80" s="70">
        <f t="shared" si="4"/>
        <v>46163</v>
      </c>
      <c r="Q80" s="132" t="s">
        <v>691</v>
      </c>
      <c r="R80" s="6" t="s">
        <v>70</v>
      </c>
      <c r="S80" s="64" t="s">
        <v>692</v>
      </c>
      <c r="T80" s="97" t="str">
        <f t="shared" si="5"/>
        <v>นาย กิตติพงษ์  พันเทศ</v>
      </c>
    </row>
    <row r="81" spans="1:20" ht="21.75">
      <c r="A81" s="61">
        <v>74</v>
      </c>
      <c r="B81" s="132" t="s">
        <v>712</v>
      </c>
      <c r="C81" s="132" t="s">
        <v>3</v>
      </c>
      <c r="D81" s="132" t="s">
        <v>713</v>
      </c>
      <c r="E81" s="132" t="s">
        <v>714</v>
      </c>
      <c r="F81" s="63" t="s">
        <v>87</v>
      </c>
      <c r="G81" s="74" t="s">
        <v>2</v>
      </c>
      <c r="H81" s="74" t="s">
        <v>1</v>
      </c>
      <c r="I81" s="132" t="s">
        <v>715</v>
      </c>
      <c r="J81" s="132" t="s">
        <v>716</v>
      </c>
      <c r="K81" s="66" t="s">
        <v>0</v>
      </c>
      <c r="L81" s="61" t="s">
        <v>58</v>
      </c>
      <c r="M81" s="6">
        <v>9</v>
      </c>
      <c r="N81" s="6" t="s">
        <v>39</v>
      </c>
      <c r="O81" s="72">
        <v>46086</v>
      </c>
      <c r="P81" s="70">
        <f t="shared" si="4"/>
        <v>46205</v>
      </c>
      <c r="Q81" s="132" t="s">
        <v>717</v>
      </c>
      <c r="R81" s="6" t="s">
        <v>70</v>
      </c>
      <c r="S81" s="64" t="s">
        <v>718</v>
      </c>
      <c r="T81" s="97" t="str">
        <f t="shared" si="5"/>
        <v>นาย ธัชชัย  เลิศล้ำ</v>
      </c>
    </row>
    <row r="82" spans="1:20" ht="21.75">
      <c r="A82" s="61">
        <v>75</v>
      </c>
      <c r="B82" s="132" t="s">
        <v>722</v>
      </c>
      <c r="C82" s="132" t="s">
        <v>3</v>
      </c>
      <c r="D82" s="132" t="s">
        <v>723</v>
      </c>
      <c r="E82" s="132" t="s">
        <v>724</v>
      </c>
      <c r="F82" s="63" t="s">
        <v>87</v>
      </c>
      <c r="G82" s="74" t="s">
        <v>2</v>
      </c>
      <c r="H82" s="74" t="s">
        <v>1</v>
      </c>
      <c r="I82" s="132" t="s">
        <v>725</v>
      </c>
      <c r="J82" s="132" t="s">
        <v>726</v>
      </c>
      <c r="K82" s="66" t="s">
        <v>0</v>
      </c>
      <c r="L82" s="61" t="s">
        <v>58</v>
      </c>
      <c r="M82" s="6">
        <v>9</v>
      </c>
      <c r="N82" s="6" t="s">
        <v>39</v>
      </c>
      <c r="O82" s="72">
        <v>46092</v>
      </c>
      <c r="P82" s="70">
        <f t="shared" ref="P82:P101" si="6">O82+119</f>
        <v>46211</v>
      </c>
      <c r="Q82" s="132" t="s">
        <v>727</v>
      </c>
      <c r="R82" s="6" t="s">
        <v>70</v>
      </c>
      <c r="S82" s="64" t="s">
        <v>728</v>
      </c>
      <c r="T82" s="97" t="str">
        <f t="shared" si="5"/>
        <v>นาย สมพงษ์  กระจ่างพันธ์</v>
      </c>
    </row>
    <row r="83" spans="1:20" ht="21.75">
      <c r="A83" s="61">
        <v>76</v>
      </c>
      <c r="B83" s="132" t="s">
        <v>730</v>
      </c>
      <c r="C83" s="132" t="s">
        <v>3</v>
      </c>
      <c r="D83" s="132" t="s">
        <v>731</v>
      </c>
      <c r="E83" s="132" t="s">
        <v>732</v>
      </c>
      <c r="F83" s="6" t="s">
        <v>87</v>
      </c>
      <c r="G83" s="74" t="s">
        <v>2</v>
      </c>
      <c r="H83" s="74" t="s">
        <v>1</v>
      </c>
      <c r="I83" s="132" t="s">
        <v>733</v>
      </c>
      <c r="J83" s="132" t="s">
        <v>734</v>
      </c>
      <c r="K83" s="66" t="s">
        <v>0</v>
      </c>
      <c r="L83" s="61" t="s">
        <v>58</v>
      </c>
      <c r="M83" s="6">
        <v>9</v>
      </c>
      <c r="N83" s="6" t="s">
        <v>39</v>
      </c>
      <c r="O83" s="72">
        <v>46100</v>
      </c>
      <c r="P83" s="70">
        <f t="shared" si="6"/>
        <v>46219</v>
      </c>
      <c r="Q83" s="132" t="s">
        <v>735</v>
      </c>
      <c r="R83" s="6" t="s">
        <v>70</v>
      </c>
      <c r="S83" s="64" t="s">
        <v>736</v>
      </c>
      <c r="T83" s="97" t="str">
        <f t="shared" si="5"/>
        <v>นาย ภูริชา  สมบูรณ์</v>
      </c>
    </row>
    <row r="84" spans="1:20" ht="21.75">
      <c r="A84" s="61">
        <v>77</v>
      </c>
      <c r="B84" s="132" t="s">
        <v>781</v>
      </c>
      <c r="C84" s="132" t="s">
        <v>3</v>
      </c>
      <c r="D84" s="132" t="s">
        <v>779</v>
      </c>
      <c r="E84" s="132" t="s">
        <v>780</v>
      </c>
      <c r="F84" s="6" t="s">
        <v>87</v>
      </c>
      <c r="G84" s="74" t="s">
        <v>2</v>
      </c>
      <c r="H84" s="74" t="s">
        <v>1</v>
      </c>
      <c r="I84" s="132" t="s">
        <v>784</v>
      </c>
      <c r="J84" s="132" t="s">
        <v>785</v>
      </c>
      <c r="K84" s="66" t="s">
        <v>0</v>
      </c>
      <c r="L84" s="61" t="s">
        <v>58</v>
      </c>
      <c r="M84" s="6">
        <v>9</v>
      </c>
      <c r="N84" s="6" t="s">
        <v>39</v>
      </c>
      <c r="O84" s="72">
        <v>46153</v>
      </c>
      <c r="P84" s="70">
        <f t="shared" si="6"/>
        <v>46272</v>
      </c>
      <c r="Q84" s="132" t="s">
        <v>787</v>
      </c>
      <c r="R84" s="6" t="s">
        <v>70</v>
      </c>
      <c r="S84" s="64" t="s">
        <v>789</v>
      </c>
      <c r="T84" s="97" t="str">
        <f t="shared" si="5"/>
        <v>นาย สุรศักดิ์  นกใหญ่</v>
      </c>
    </row>
    <row r="85" spans="1:20" ht="21.75">
      <c r="A85" s="61">
        <v>78</v>
      </c>
      <c r="B85" s="132" t="s">
        <v>796</v>
      </c>
      <c r="C85" s="132" t="s">
        <v>3</v>
      </c>
      <c r="D85" s="132" t="s">
        <v>388</v>
      </c>
      <c r="E85" s="132" t="s">
        <v>797</v>
      </c>
      <c r="F85" s="63" t="s">
        <v>87</v>
      </c>
      <c r="G85" s="74" t="s">
        <v>2</v>
      </c>
      <c r="H85" s="74" t="s">
        <v>1</v>
      </c>
      <c r="I85" s="132" t="s">
        <v>132</v>
      </c>
      <c r="J85" s="132" t="s">
        <v>798</v>
      </c>
      <c r="K85" s="66" t="s">
        <v>0</v>
      </c>
      <c r="L85" s="61" t="s">
        <v>58</v>
      </c>
      <c r="M85" s="6">
        <v>9</v>
      </c>
      <c r="N85" s="6" t="s">
        <v>39</v>
      </c>
      <c r="O85" s="72">
        <v>46167</v>
      </c>
      <c r="P85" s="70">
        <f t="shared" si="6"/>
        <v>46286</v>
      </c>
      <c r="Q85" s="132" t="s">
        <v>799</v>
      </c>
      <c r="R85" s="6" t="s">
        <v>70</v>
      </c>
      <c r="S85" s="64" t="s">
        <v>800</v>
      </c>
      <c r="T85" s="97" t="str">
        <f t="shared" si="5"/>
        <v>นาย ภาณุพงศ์  หมุ่นตัง</v>
      </c>
    </row>
    <row r="86" spans="1:20" ht="21.75">
      <c r="A86" s="61">
        <v>79</v>
      </c>
      <c r="B86" s="132" t="s">
        <v>807</v>
      </c>
      <c r="C86" s="132" t="s">
        <v>3</v>
      </c>
      <c r="D86" s="132" t="s">
        <v>801</v>
      </c>
      <c r="E86" s="132" t="s">
        <v>802</v>
      </c>
      <c r="F86" s="66" t="s">
        <v>87</v>
      </c>
      <c r="G86" s="88" t="s">
        <v>2</v>
      </c>
      <c r="H86" s="6" t="s">
        <v>1</v>
      </c>
      <c r="I86" s="132" t="s">
        <v>803</v>
      </c>
      <c r="J86" s="132" t="s">
        <v>804</v>
      </c>
      <c r="K86" s="66" t="s">
        <v>0</v>
      </c>
      <c r="L86" s="61" t="s">
        <v>58</v>
      </c>
      <c r="M86" s="6">
        <v>9</v>
      </c>
      <c r="N86" s="6" t="s">
        <v>39</v>
      </c>
      <c r="O86" s="72">
        <v>46177</v>
      </c>
      <c r="P86" s="70">
        <f t="shared" si="6"/>
        <v>46296</v>
      </c>
      <c r="Q86" s="132" t="s">
        <v>805</v>
      </c>
      <c r="R86" s="6" t="s">
        <v>70</v>
      </c>
      <c r="S86" s="64" t="s">
        <v>806</v>
      </c>
      <c r="T86" s="97" t="str">
        <f t="shared" si="5"/>
        <v>นาย ยุทธภูมิ  ผำนอก</v>
      </c>
    </row>
    <row r="87" spans="1:20" ht="21.75">
      <c r="A87" s="61">
        <v>80</v>
      </c>
      <c r="B87" s="63" t="s">
        <v>236</v>
      </c>
      <c r="C87" s="63" t="s">
        <v>3</v>
      </c>
      <c r="D87" s="63" t="s">
        <v>237</v>
      </c>
      <c r="E87" s="5" t="s">
        <v>238</v>
      </c>
      <c r="F87" s="6" t="s">
        <v>87</v>
      </c>
      <c r="G87" s="75" t="s">
        <v>2</v>
      </c>
      <c r="H87" s="75" t="s">
        <v>1</v>
      </c>
      <c r="I87" s="5" t="s">
        <v>239</v>
      </c>
      <c r="J87" s="5" t="s">
        <v>240</v>
      </c>
      <c r="K87" s="77" t="s">
        <v>51</v>
      </c>
      <c r="L87" s="61" t="s">
        <v>58</v>
      </c>
      <c r="M87" s="6">
        <v>10</v>
      </c>
      <c r="N87" s="6" t="s">
        <v>38</v>
      </c>
      <c r="O87" s="76">
        <v>43682</v>
      </c>
      <c r="P87" s="4">
        <f t="shared" si="6"/>
        <v>43801</v>
      </c>
      <c r="Q87" s="6" t="s">
        <v>450</v>
      </c>
      <c r="R87" s="6" t="s">
        <v>70</v>
      </c>
      <c r="S87" s="64"/>
      <c r="T87" s="97" t="str">
        <f t="shared" si="5"/>
        <v>นาย ชมบุญ  พันธ์บัว</v>
      </c>
    </row>
    <row r="88" spans="1:20" ht="21.75">
      <c r="A88" s="61">
        <v>81</v>
      </c>
      <c r="B88" s="6" t="s">
        <v>246</v>
      </c>
      <c r="C88" s="65" t="s">
        <v>3</v>
      </c>
      <c r="D88" s="66" t="s">
        <v>151</v>
      </c>
      <c r="E88" s="6" t="s">
        <v>152</v>
      </c>
      <c r="F88" s="66" t="s">
        <v>87</v>
      </c>
      <c r="G88" s="6" t="s">
        <v>2</v>
      </c>
      <c r="H88" s="6" t="s">
        <v>1</v>
      </c>
      <c r="I88" s="6" t="s">
        <v>153</v>
      </c>
      <c r="J88" s="6" t="s">
        <v>154</v>
      </c>
      <c r="K88" s="77" t="s">
        <v>51</v>
      </c>
      <c r="L88" s="61" t="s">
        <v>58</v>
      </c>
      <c r="M88" s="6">
        <v>10</v>
      </c>
      <c r="N88" s="61" t="s">
        <v>38</v>
      </c>
      <c r="O88" s="70">
        <v>43705</v>
      </c>
      <c r="P88" s="4">
        <f t="shared" si="6"/>
        <v>43824</v>
      </c>
      <c r="Q88" s="63" t="s">
        <v>451</v>
      </c>
      <c r="R88" s="6" t="s">
        <v>70</v>
      </c>
      <c r="S88" s="64"/>
      <c r="T88" s="97" t="str">
        <f t="shared" si="5"/>
        <v>นาย กฤษฎากรณ์  แก้วพรม</v>
      </c>
    </row>
    <row r="89" spans="1:20" ht="21.75">
      <c r="A89" s="61">
        <v>82</v>
      </c>
      <c r="B89" s="63" t="s">
        <v>309</v>
      </c>
      <c r="C89" s="63" t="s">
        <v>3</v>
      </c>
      <c r="D89" s="63" t="s">
        <v>310</v>
      </c>
      <c r="E89" s="5" t="s">
        <v>311</v>
      </c>
      <c r="F89" s="66" t="s">
        <v>87</v>
      </c>
      <c r="G89" s="6" t="s">
        <v>2</v>
      </c>
      <c r="H89" s="6" t="s">
        <v>1</v>
      </c>
      <c r="I89" s="5" t="s">
        <v>312</v>
      </c>
      <c r="J89" s="5" t="s">
        <v>313</v>
      </c>
      <c r="K89" s="77" t="s">
        <v>51</v>
      </c>
      <c r="L89" s="61" t="s">
        <v>58</v>
      </c>
      <c r="M89" s="6">
        <v>10</v>
      </c>
      <c r="N89" s="6" t="s">
        <v>38</v>
      </c>
      <c r="O89" s="70">
        <v>44540</v>
      </c>
      <c r="P89" s="4">
        <f t="shared" si="6"/>
        <v>44659</v>
      </c>
      <c r="Q89" s="63" t="s">
        <v>314</v>
      </c>
      <c r="R89" s="6" t="s">
        <v>70</v>
      </c>
      <c r="S89" s="64" t="s">
        <v>462</v>
      </c>
      <c r="T89" s="97" t="str">
        <f t="shared" si="5"/>
        <v>นาย ณัฐชนนท์  ด้วงบุดดี</v>
      </c>
    </row>
    <row r="90" spans="1:20" ht="21.75">
      <c r="A90" s="61">
        <v>83</v>
      </c>
      <c r="B90" s="63" t="s">
        <v>322</v>
      </c>
      <c r="C90" s="63" t="s">
        <v>3</v>
      </c>
      <c r="D90" s="64" t="s">
        <v>82</v>
      </c>
      <c r="E90" s="63" t="s">
        <v>83</v>
      </c>
      <c r="F90" s="6" t="s">
        <v>87</v>
      </c>
      <c r="G90" s="6" t="s">
        <v>2</v>
      </c>
      <c r="H90" s="6" t="s">
        <v>1</v>
      </c>
      <c r="I90" s="63" t="s">
        <v>84</v>
      </c>
      <c r="J90" s="63" t="s">
        <v>85</v>
      </c>
      <c r="K90" s="77" t="s">
        <v>51</v>
      </c>
      <c r="L90" s="61" t="s">
        <v>58</v>
      </c>
      <c r="M90" s="6">
        <v>10</v>
      </c>
      <c r="N90" s="6" t="s">
        <v>38</v>
      </c>
      <c r="O90" s="70">
        <v>44581</v>
      </c>
      <c r="P90" s="4">
        <f t="shared" si="6"/>
        <v>44700</v>
      </c>
      <c r="Q90" s="63" t="s">
        <v>86</v>
      </c>
      <c r="R90" s="6" t="s">
        <v>70</v>
      </c>
      <c r="S90" s="64"/>
      <c r="T90" s="97" t="str">
        <f t="shared" si="5"/>
        <v>นาย พัชรพล  เจริญโภค</v>
      </c>
    </row>
    <row r="91" spans="1:20" ht="21.75">
      <c r="A91" s="61">
        <v>84</v>
      </c>
      <c r="B91" s="64" t="s">
        <v>323</v>
      </c>
      <c r="C91" s="64" t="s">
        <v>3</v>
      </c>
      <c r="D91" s="64" t="s">
        <v>106</v>
      </c>
      <c r="E91" s="64" t="s">
        <v>97</v>
      </c>
      <c r="F91" s="6" t="s">
        <v>87</v>
      </c>
      <c r="G91" s="69" t="s">
        <v>2</v>
      </c>
      <c r="H91" s="69" t="s">
        <v>1</v>
      </c>
      <c r="I91" s="63" t="s">
        <v>111</v>
      </c>
      <c r="J91" s="72" t="s">
        <v>112</v>
      </c>
      <c r="K91" s="77" t="s">
        <v>51</v>
      </c>
      <c r="L91" s="61" t="s">
        <v>58</v>
      </c>
      <c r="M91" s="6">
        <v>10</v>
      </c>
      <c r="N91" s="6" t="s">
        <v>38</v>
      </c>
      <c r="O91" s="70">
        <v>44620</v>
      </c>
      <c r="P91" s="4">
        <f t="shared" si="6"/>
        <v>44739</v>
      </c>
      <c r="Q91" s="80" t="s">
        <v>113</v>
      </c>
      <c r="R91" s="6" t="s">
        <v>70</v>
      </c>
      <c r="S91" s="64"/>
      <c r="T91" s="97" t="str">
        <f t="shared" si="5"/>
        <v>นาย อำนาจ  พันธุ์ยาง</v>
      </c>
    </row>
    <row r="92" spans="1:20" ht="21.75">
      <c r="A92" s="61">
        <v>85</v>
      </c>
      <c r="B92" s="81" t="s">
        <v>338</v>
      </c>
      <c r="C92" s="72" t="s">
        <v>3</v>
      </c>
      <c r="D92" s="72" t="s">
        <v>175</v>
      </c>
      <c r="E92" s="72" t="s">
        <v>176</v>
      </c>
      <c r="F92" s="63" t="s">
        <v>87</v>
      </c>
      <c r="G92" s="74" t="s">
        <v>2</v>
      </c>
      <c r="H92" s="74" t="s">
        <v>1</v>
      </c>
      <c r="I92" s="72" t="s">
        <v>184</v>
      </c>
      <c r="J92" s="72" t="s">
        <v>185</v>
      </c>
      <c r="K92" s="77" t="s">
        <v>51</v>
      </c>
      <c r="L92" s="61" t="s">
        <v>58</v>
      </c>
      <c r="M92" s="6">
        <v>10</v>
      </c>
      <c r="N92" s="6" t="s">
        <v>38</v>
      </c>
      <c r="O92" s="70">
        <v>44708</v>
      </c>
      <c r="P92" s="70">
        <f t="shared" si="6"/>
        <v>44827</v>
      </c>
      <c r="Q92" s="63" t="s">
        <v>192</v>
      </c>
      <c r="R92" s="6" t="s">
        <v>70</v>
      </c>
      <c r="S92" s="64" t="s">
        <v>489</v>
      </c>
      <c r="T92" s="97" t="str">
        <f t="shared" si="5"/>
        <v>นาย รังษี  ศรีป่า</v>
      </c>
    </row>
    <row r="93" spans="1:20" ht="21.75">
      <c r="A93" s="61">
        <v>86</v>
      </c>
      <c r="B93" s="81" t="s">
        <v>339</v>
      </c>
      <c r="C93" s="72" t="s">
        <v>3</v>
      </c>
      <c r="D93" s="72" t="s">
        <v>178</v>
      </c>
      <c r="E93" s="72" t="s">
        <v>179</v>
      </c>
      <c r="F93" s="63" t="s">
        <v>87</v>
      </c>
      <c r="G93" s="74" t="s">
        <v>2</v>
      </c>
      <c r="H93" s="74" t="s">
        <v>1</v>
      </c>
      <c r="I93" s="72" t="s">
        <v>132</v>
      </c>
      <c r="J93" s="72" t="s">
        <v>187</v>
      </c>
      <c r="K93" s="77" t="s">
        <v>51</v>
      </c>
      <c r="L93" s="61" t="s">
        <v>58</v>
      </c>
      <c r="M93" s="6">
        <v>10</v>
      </c>
      <c r="N93" s="6" t="s">
        <v>38</v>
      </c>
      <c r="O93" s="70">
        <v>44708</v>
      </c>
      <c r="P93" s="70">
        <f t="shared" si="6"/>
        <v>44827</v>
      </c>
      <c r="Q93" s="5" t="s">
        <v>193</v>
      </c>
      <c r="R93" s="5" t="s">
        <v>241</v>
      </c>
      <c r="S93" s="64"/>
      <c r="T93" s="97" t="str">
        <f t="shared" si="5"/>
        <v>นาย ภานุพงศ์  บังอร</v>
      </c>
    </row>
    <row r="94" spans="1:20" ht="21.75">
      <c r="A94" s="61">
        <v>87</v>
      </c>
      <c r="B94" s="63" t="s">
        <v>344</v>
      </c>
      <c r="C94" s="63" t="s">
        <v>3</v>
      </c>
      <c r="D94" s="63" t="s">
        <v>207</v>
      </c>
      <c r="E94" s="63" t="s">
        <v>208</v>
      </c>
      <c r="F94" s="6" t="s">
        <v>87</v>
      </c>
      <c r="G94" s="74" t="s">
        <v>2</v>
      </c>
      <c r="H94" s="74" t="s">
        <v>1</v>
      </c>
      <c r="I94" s="63" t="s">
        <v>209</v>
      </c>
      <c r="J94" s="63" t="s">
        <v>210</v>
      </c>
      <c r="K94" s="77" t="s">
        <v>51</v>
      </c>
      <c r="L94" s="61" t="s">
        <v>58</v>
      </c>
      <c r="M94" s="6">
        <v>10</v>
      </c>
      <c r="N94" s="6" t="s">
        <v>38</v>
      </c>
      <c r="O94" s="70">
        <v>44746</v>
      </c>
      <c r="P94" s="70">
        <f t="shared" si="6"/>
        <v>44865</v>
      </c>
      <c r="Q94" s="63" t="s">
        <v>211</v>
      </c>
      <c r="R94" s="6" t="s">
        <v>70</v>
      </c>
      <c r="S94" s="64"/>
      <c r="T94" s="97" t="str">
        <f t="shared" si="5"/>
        <v>นาย สิทธิชัย  ก่อแก้ว</v>
      </c>
    </row>
    <row r="95" spans="1:20" ht="21.75">
      <c r="A95" s="61">
        <v>88</v>
      </c>
      <c r="B95" s="63" t="s">
        <v>300</v>
      </c>
      <c r="C95" s="63" t="s">
        <v>3</v>
      </c>
      <c r="D95" s="63" t="s">
        <v>301</v>
      </c>
      <c r="E95" s="5" t="s">
        <v>302</v>
      </c>
      <c r="F95" s="6" t="s">
        <v>87</v>
      </c>
      <c r="G95" s="6" t="s">
        <v>2</v>
      </c>
      <c r="H95" s="6" t="s">
        <v>1</v>
      </c>
      <c r="I95" s="5" t="s">
        <v>303</v>
      </c>
      <c r="J95" s="5" t="s">
        <v>304</v>
      </c>
      <c r="K95" s="77" t="s">
        <v>51</v>
      </c>
      <c r="L95" s="61" t="s">
        <v>58</v>
      </c>
      <c r="M95" s="6">
        <v>10</v>
      </c>
      <c r="N95" s="6" t="s">
        <v>39</v>
      </c>
      <c r="O95" s="72">
        <v>45103</v>
      </c>
      <c r="P95" s="72">
        <f t="shared" si="6"/>
        <v>45222</v>
      </c>
      <c r="Q95" s="72" t="s">
        <v>305</v>
      </c>
      <c r="R95" s="72" t="s">
        <v>70</v>
      </c>
      <c r="S95" s="64" t="s">
        <v>662</v>
      </c>
      <c r="T95" s="97" t="str">
        <f t="shared" si="5"/>
        <v>นาย จักรพันธุ์  สิงห์ศาลาแสง</v>
      </c>
    </row>
    <row r="96" spans="1:20" ht="21.75">
      <c r="A96" s="61">
        <v>89</v>
      </c>
      <c r="B96" s="144" t="s">
        <v>356</v>
      </c>
      <c r="C96" s="144" t="s">
        <v>3</v>
      </c>
      <c r="D96" s="144" t="s">
        <v>357</v>
      </c>
      <c r="E96" s="144" t="s">
        <v>358</v>
      </c>
      <c r="F96" s="144" t="s">
        <v>87</v>
      </c>
      <c r="G96" s="144" t="s">
        <v>2</v>
      </c>
      <c r="H96" s="144" t="s">
        <v>1</v>
      </c>
      <c r="I96" s="144" t="s">
        <v>359</v>
      </c>
      <c r="J96" s="144" t="s">
        <v>360</v>
      </c>
      <c r="K96" s="149" t="s">
        <v>832</v>
      </c>
      <c r="L96" s="145" t="s">
        <v>58</v>
      </c>
      <c r="M96" s="145">
        <v>11</v>
      </c>
      <c r="N96" s="145" t="s">
        <v>39</v>
      </c>
      <c r="O96" s="146">
        <v>45301</v>
      </c>
      <c r="P96" s="147">
        <f t="shared" si="6"/>
        <v>45420</v>
      </c>
      <c r="Q96" s="147" t="s">
        <v>361</v>
      </c>
      <c r="R96" s="147" t="s">
        <v>70</v>
      </c>
      <c r="S96" s="148" t="s">
        <v>833</v>
      </c>
      <c r="T96" s="97" t="str">
        <f t="shared" si="5"/>
        <v>นาย ธนบูรณ์  โกเมน</v>
      </c>
    </row>
    <row r="97" spans="1:20" ht="21.75">
      <c r="A97" s="61">
        <v>90</v>
      </c>
      <c r="B97" s="63" t="s">
        <v>326</v>
      </c>
      <c r="C97" s="63" t="s">
        <v>72</v>
      </c>
      <c r="D97" s="64" t="s">
        <v>138</v>
      </c>
      <c r="E97" s="63" t="s">
        <v>144</v>
      </c>
      <c r="F97" s="63" t="s">
        <v>87</v>
      </c>
      <c r="G97" s="73" t="s">
        <v>75</v>
      </c>
      <c r="H97" s="6" t="s">
        <v>76</v>
      </c>
      <c r="I97" s="63" t="s">
        <v>139</v>
      </c>
      <c r="J97" s="63" t="s">
        <v>145</v>
      </c>
      <c r="K97" s="77" t="s">
        <v>836</v>
      </c>
      <c r="L97" s="61" t="s">
        <v>58</v>
      </c>
      <c r="M97" s="6">
        <v>12</v>
      </c>
      <c r="N97" s="6" t="s">
        <v>38</v>
      </c>
      <c r="O97" s="70">
        <v>44671</v>
      </c>
      <c r="P97" s="4">
        <f t="shared" si="6"/>
        <v>44790</v>
      </c>
      <c r="Q97" s="64" t="s">
        <v>146</v>
      </c>
      <c r="R97" s="6" t="s">
        <v>70</v>
      </c>
      <c r="S97" s="64"/>
      <c r="T97" s="97" t="str">
        <f t="shared" si="5"/>
        <v>นางสาว สุธิดา  คำพัน</v>
      </c>
    </row>
    <row r="98" spans="1:20" ht="21.75">
      <c r="A98" s="61">
        <v>91</v>
      </c>
      <c r="B98" s="63" t="s">
        <v>265</v>
      </c>
      <c r="C98" s="63" t="s">
        <v>72</v>
      </c>
      <c r="D98" s="63" t="s">
        <v>262</v>
      </c>
      <c r="E98" s="5" t="s">
        <v>252</v>
      </c>
      <c r="F98" s="6" t="s">
        <v>87</v>
      </c>
      <c r="G98" s="73" t="s">
        <v>75</v>
      </c>
      <c r="H98" s="6" t="s">
        <v>76</v>
      </c>
      <c r="I98" s="5" t="s">
        <v>263</v>
      </c>
      <c r="J98" s="5" t="s">
        <v>264</v>
      </c>
      <c r="K98" s="77" t="s">
        <v>836</v>
      </c>
      <c r="L98" s="61" t="s">
        <v>58</v>
      </c>
      <c r="M98" s="6">
        <v>12</v>
      </c>
      <c r="N98" s="6" t="s">
        <v>39</v>
      </c>
      <c r="O98" s="72">
        <v>44974</v>
      </c>
      <c r="P98" s="70">
        <f t="shared" si="6"/>
        <v>45093</v>
      </c>
      <c r="Q98" s="95" t="s">
        <v>456</v>
      </c>
      <c r="R98" s="6" t="s">
        <v>70</v>
      </c>
      <c r="S98" s="64" t="s">
        <v>463</v>
      </c>
      <c r="T98" s="97" t="str">
        <f t="shared" si="5"/>
        <v>นางสาว อุษา  ภาคพรหม</v>
      </c>
    </row>
    <row r="99" spans="1:20" ht="21.75">
      <c r="A99" s="61">
        <v>92</v>
      </c>
      <c r="B99" s="132" t="s">
        <v>808</v>
      </c>
      <c r="C99" s="132" t="s">
        <v>72</v>
      </c>
      <c r="D99" s="132" t="s">
        <v>809</v>
      </c>
      <c r="E99" s="132" t="s">
        <v>810</v>
      </c>
      <c r="F99" s="63" t="s">
        <v>87</v>
      </c>
      <c r="G99" s="73" t="s">
        <v>75</v>
      </c>
      <c r="H99" s="6" t="s">
        <v>76</v>
      </c>
      <c r="I99" s="132" t="s">
        <v>811</v>
      </c>
      <c r="J99" s="132" t="s">
        <v>812</v>
      </c>
      <c r="K99" s="77" t="s">
        <v>836</v>
      </c>
      <c r="L99" s="61" t="s">
        <v>58</v>
      </c>
      <c r="M99" s="6">
        <v>12</v>
      </c>
      <c r="N99" s="6" t="s">
        <v>39</v>
      </c>
      <c r="O99" s="72">
        <v>46178</v>
      </c>
      <c r="P99" s="70">
        <f t="shared" si="6"/>
        <v>46297</v>
      </c>
      <c r="Q99" s="132" t="s">
        <v>813</v>
      </c>
      <c r="R99" s="6" t="s">
        <v>70</v>
      </c>
      <c r="S99" s="64" t="s">
        <v>814</v>
      </c>
      <c r="T99" s="97" t="str">
        <f t="shared" si="5"/>
        <v>นางสาว เพชรอิศรา  เสน่หา</v>
      </c>
    </row>
    <row r="100" spans="1:20" ht="21.75">
      <c r="A100" s="61">
        <v>93</v>
      </c>
      <c r="B100" s="131" t="s">
        <v>815</v>
      </c>
      <c r="C100" s="72" t="s">
        <v>72</v>
      </c>
      <c r="D100" s="72" t="s">
        <v>627</v>
      </c>
      <c r="E100" s="72" t="s">
        <v>628</v>
      </c>
      <c r="F100" s="6" t="s">
        <v>87</v>
      </c>
      <c r="G100" s="98" t="s">
        <v>75</v>
      </c>
      <c r="H100" s="75" t="s">
        <v>76</v>
      </c>
      <c r="I100" s="76" t="s">
        <v>629</v>
      </c>
      <c r="J100" s="76" t="s">
        <v>630</v>
      </c>
      <c r="K100" s="77" t="s">
        <v>836</v>
      </c>
      <c r="L100" s="61" t="s">
        <v>58</v>
      </c>
      <c r="M100" s="6">
        <v>12</v>
      </c>
      <c r="N100" s="6" t="s">
        <v>39</v>
      </c>
      <c r="O100" s="76">
        <v>45252</v>
      </c>
      <c r="P100" s="70">
        <f t="shared" si="6"/>
        <v>45371</v>
      </c>
      <c r="Q100" s="142" t="s">
        <v>817</v>
      </c>
      <c r="R100" s="6" t="s">
        <v>70</v>
      </c>
      <c r="S100" s="64" t="s">
        <v>816</v>
      </c>
      <c r="T100" s="97" t="str">
        <f t="shared" si="5"/>
        <v>นางสาว อรทัย  อาชินรัมย์</v>
      </c>
    </row>
    <row r="101" spans="1:20" ht="21.75">
      <c r="A101" s="61">
        <v>94</v>
      </c>
      <c r="B101" s="136" t="s">
        <v>843</v>
      </c>
      <c r="C101" s="136" t="s">
        <v>3</v>
      </c>
      <c r="D101" s="136" t="s">
        <v>844</v>
      </c>
      <c r="E101" s="136" t="s">
        <v>845</v>
      </c>
      <c r="F101" s="137" t="s">
        <v>87</v>
      </c>
      <c r="G101" s="137" t="s">
        <v>2</v>
      </c>
      <c r="H101" s="137" t="s">
        <v>1</v>
      </c>
      <c r="I101" s="136" t="s">
        <v>846</v>
      </c>
      <c r="J101" s="136" t="s">
        <v>847</v>
      </c>
      <c r="K101" s="143" t="s">
        <v>836</v>
      </c>
      <c r="L101" s="137" t="s">
        <v>58</v>
      </c>
      <c r="M101" s="137">
        <v>12</v>
      </c>
      <c r="N101" s="137" t="s">
        <v>39</v>
      </c>
      <c r="O101" s="139">
        <v>46244</v>
      </c>
      <c r="P101" s="138">
        <f t="shared" si="6"/>
        <v>46363</v>
      </c>
      <c r="Q101" s="136" t="s">
        <v>848</v>
      </c>
      <c r="R101" s="137" t="s">
        <v>70</v>
      </c>
      <c r="S101" s="140" t="s">
        <v>849</v>
      </c>
      <c r="T101" s="97" t="str">
        <f t="shared" si="5"/>
        <v>นาย ลุค  ภูวรินธร</v>
      </c>
    </row>
  </sheetData>
  <autoFilter ref="A7:T101" xr:uid="{7E1EB177-D68F-4F79-B836-24627E9FD034}"/>
  <sortState xmlns:xlrd2="http://schemas.microsoft.com/office/spreadsheetml/2017/richdata2" ref="A8:S101">
    <sortCondition ref="F8:F101"/>
    <sortCondition ref="M8:M101"/>
    <sortCondition ref="L8:L101"/>
    <sortCondition ref="N8:N101"/>
    <sortCondition ref="B8:B101"/>
  </sortState>
  <mergeCells count="4">
    <mergeCell ref="A2:B2"/>
    <mergeCell ref="A3:B3"/>
    <mergeCell ref="A4:B4"/>
    <mergeCell ref="A5:B5"/>
  </mergeCells>
  <phoneticPr fontId="29" type="noConversion"/>
  <pageMargins left="0.25" right="0.25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F5B4-C5EB-4831-89E5-873B3BED4A49}">
  <sheetPr>
    <tabColor theme="6" tint="0.39997558519241921"/>
  </sheetPr>
  <dimension ref="A1:Q15"/>
  <sheetViews>
    <sheetView showGridLines="0" zoomScaleNormal="100" workbookViewId="0">
      <pane xSplit="5" ySplit="5" topLeftCell="F6" activePane="bottomRight" state="frozen"/>
      <selection pane="topRight" activeCell="H1" sqref="H1"/>
      <selection pane="bottomLeft" activeCell="A6" sqref="A6"/>
      <selection pane="bottomRight" activeCell="R1" sqref="R1:R1048576"/>
    </sheetView>
  </sheetViews>
  <sheetFormatPr defaultRowHeight="15"/>
  <cols>
    <col min="1" max="1" width="6.85546875" style="123" customWidth="1"/>
    <col min="2" max="2" width="13.7109375" style="123" customWidth="1"/>
    <col min="3" max="3" width="11.28515625" style="123" customWidth="1"/>
    <col min="4" max="4" width="10.42578125" style="123" customWidth="1"/>
    <col min="5" max="5" width="11.140625" style="123" customWidth="1"/>
    <col min="6" max="6" width="6.28515625" style="123" customWidth="1"/>
    <col min="7" max="7" width="5.140625" style="123" customWidth="1"/>
    <col min="8" max="9" width="14.7109375" style="123" customWidth="1"/>
    <col min="10" max="10" width="21.85546875" style="123" customWidth="1"/>
    <col min="11" max="11" width="8.7109375" style="123" customWidth="1"/>
    <col min="12" max="12" width="11.5703125" style="123" customWidth="1"/>
    <col min="13" max="13" width="14.28515625" style="123" customWidth="1"/>
    <col min="14" max="14" width="9.140625" style="123" customWidth="1"/>
    <col min="15" max="16" width="14.42578125" style="123" customWidth="1"/>
    <col min="17" max="17" width="56.7109375" style="123" bestFit="1" customWidth="1"/>
    <col min="18" max="16384" width="9.140625" style="123"/>
  </cols>
  <sheetData>
    <row r="1" spans="1:17" s="112" customFormat="1" ht="24.75" customHeight="1">
      <c r="B1" s="113"/>
      <c r="C1" s="114"/>
      <c r="D1" s="114"/>
      <c r="E1" s="115"/>
      <c r="F1" s="116"/>
      <c r="G1" s="116"/>
      <c r="H1" s="117"/>
      <c r="I1" s="117"/>
      <c r="J1" s="118"/>
      <c r="K1" s="118"/>
      <c r="L1" s="119"/>
      <c r="M1" s="118"/>
      <c r="N1" s="116"/>
      <c r="O1" s="116"/>
      <c r="P1" s="116"/>
      <c r="Q1" s="120"/>
    </row>
    <row r="2" spans="1:17" s="112" customFormat="1" ht="24.75" customHeight="1">
      <c r="B2" s="113"/>
      <c r="C2" s="115"/>
      <c r="D2" s="115"/>
      <c r="E2" s="115"/>
      <c r="F2" s="116"/>
      <c r="G2" s="116"/>
      <c r="H2" s="117"/>
      <c r="I2" s="117"/>
      <c r="J2" s="118"/>
      <c r="K2" s="118"/>
      <c r="L2" s="119"/>
      <c r="M2" s="118"/>
      <c r="N2" s="116"/>
      <c r="O2" s="116"/>
      <c r="P2" s="116"/>
      <c r="Q2" s="120"/>
    </row>
    <row r="3" spans="1:17" s="122" customFormat="1" ht="21" customHeight="1">
      <c r="A3" s="159" t="s">
        <v>588</v>
      </c>
      <c r="B3" s="159" t="s">
        <v>589</v>
      </c>
      <c r="C3" s="162" t="s">
        <v>31</v>
      </c>
      <c r="D3" s="165" t="s">
        <v>30</v>
      </c>
      <c r="E3" s="166"/>
      <c r="F3" s="156" t="s">
        <v>29</v>
      </c>
      <c r="G3" s="156" t="s">
        <v>28</v>
      </c>
      <c r="H3" s="165" t="s">
        <v>27</v>
      </c>
      <c r="I3" s="166"/>
      <c r="J3" s="174" t="s">
        <v>590</v>
      </c>
      <c r="K3" s="179" t="s">
        <v>45</v>
      </c>
      <c r="L3" s="174" t="s">
        <v>591</v>
      </c>
      <c r="M3" s="174" t="s">
        <v>592</v>
      </c>
      <c r="N3" s="156" t="s">
        <v>593</v>
      </c>
      <c r="O3" s="169" t="s">
        <v>25</v>
      </c>
      <c r="P3" s="176" t="s">
        <v>24</v>
      </c>
      <c r="Q3" s="171" t="s">
        <v>641</v>
      </c>
    </row>
    <row r="4" spans="1:17" s="122" customFormat="1" ht="21" customHeight="1">
      <c r="A4" s="160"/>
      <c r="B4" s="160"/>
      <c r="C4" s="163"/>
      <c r="D4" s="167"/>
      <c r="E4" s="168"/>
      <c r="F4" s="157"/>
      <c r="G4" s="157"/>
      <c r="H4" s="167"/>
      <c r="I4" s="168"/>
      <c r="J4" s="175"/>
      <c r="K4" s="180"/>
      <c r="L4" s="175"/>
      <c r="M4" s="175"/>
      <c r="N4" s="157"/>
      <c r="O4" s="170"/>
      <c r="P4" s="177"/>
      <c r="Q4" s="172"/>
    </row>
    <row r="5" spans="1:17" s="122" customFormat="1" ht="21" customHeight="1">
      <c r="A5" s="161"/>
      <c r="B5" s="161"/>
      <c r="C5" s="164"/>
      <c r="D5" s="128" t="s">
        <v>594</v>
      </c>
      <c r="E5" s="128" t="s">
        <v>595</v>
      </c>
      <c r="F5" s="158"/>
      <c r="G5" s="158"/>
      <c r="H5" s="124" t="s">
        <v>596</v>
      </c>
      <c r="I5" s="124" t="s">
        <v>595</v>
      </c>
      <c r="J5" s="129" t="s">
        <v>26</v>
      </c>
      <c r="K5" s="181"/>
      <c r="L5" s="126" t="s">
        <v>22</v>
      </c>
      <c r="M5" s="126" t="s">
        <v>48</v>
      </c>
      <c r="N5" s="125" t="s">
        <v>597</v>
      </c>
      <c r="O5" s="127" t="s">
        <v>598</v>
      </c>
      <c r="P5" s="178"/>
      <c r="Q5" s="173"/>
    </row>
    <row r="6" spans="1:17" s="121" customFormat="1" ht="24" customHeight="1">
      <c r="A6" s="68">
        <v>1</v>
      </c>
      <c r="B6" s="66" t="s">
        <v>600</v>
      </c>
      <c r="C6" s="72" t="s">
        <v>72</v>
      </c>
      <c r="D6" s="72" t="s">
        <v>155</v>
      </c>
      <c r="E6" s="72" t="s">
        <v>156</v>
      </c>
      <c r="F6" s="75" t="s">
        <v>75</v>
      </c>
      <c r="G6" s="75" t="s">
        <v>76</v>
      </c>
      <c r="H6" s="76" t="s">
        <v>601</v>
      </c>
      <c r="I6" s="76" t="s">
        <v>602</v>
      </c>
      <c r="J6" s="96" t="s">
        <v>842</v>
      </c>
      <c r="K6" s="6" t="s">
        <v>87</v>
      </c>
      <c r="L6" s="130" t="s">
        <v>599</v>
      </c>
      <c r="M6" s="130" t="s">
        <v>58</v>
      </c>
      <c r="N6" s="68" t="s">
        <v>70</v>
      </c>
      <c r="O6" s="76">
        <v>44677</v>
      </c>
      <c r="P6" s="4">
        <f>O7+119</f>
        <v>44875</v>
      </c>
      <c r="Q6" s="66" t="s">
        <v>655</v>
      </c>
    </row>
    <row r="7" spans="1:17" s="121" customFormat="1" ht="24" customHeight="1">
      <c r="A7" s="68">
        <v>2</v>
      </c>
      <c r="B7" s="66" t="s">
        <v>603</v>
      </c>
      <c r="C7" s="72" t="s">
        <v>72</v>
      </c>
      <c r="D7" s="72" t="s">
        <v>604</v>
      </c>
      <c r="E7" s="72" t="s">
        <v>605</v>
      </c>
      <c r="F7" s="75" t="s">
        <v>75</v>
      </c>
      <c r="G7" s="75" t="s">
        <v>76</v>
      </c>
      <c r="H7" s="76" t="s">
        <v>606</v>
      </c>
      <c r="I7" s="76" t="s">
        <v>607</v>
      </c>
      <c r="J7" s="96" t="s">
        <v>842</v>
      </c>
      <c r="K7" s="6" t="s">
        <v>88</v>
      </c>
      <c r="L7" s="130" t="s">
        <v>599</v>
      </c>
      <c r="M7" s="130" t="s">
        <v>58</v>
      </c>
      <c r="N7" s="68" t="s">
        <v>70</v>
      </c>
      <c r="O7" s="76">
        <v>44756</v>
      </c>
      <c r="P7" s="4">
        <f>O8+119</f>
        <v>45082</v>
      </c>
      <c r="Q7" s="66" t="s">
        <v>729</v>
      </c>
    </row>
    <row r="8" spans="1:17" s="121" customFormat="1" ht="24" customHeight="1">
      <c r="A8" s="68">
        <v>3</v>
      </c>
      <c r="B8" s="66" t="s">
        <v>608</v>
      </c>
      <c r="C8" s="72" t="s">
        <v>72</v>
      </c>
      <c r="D8" s="72" t="s">
        <v>609</v>
      </c>
      <c r="E8" s="72" t="s">
        <v>610</v>
      </c>
      <c r="F8" s="75" t="s">
        <v>75</v>
      </c>
      <c r="G8" s="75" t="s">
        <v>76</v>
      </c>
      <c r="H8" s="76" t="s">
        <v>611</v>
      </c>
      <c r="I8" s="76" t="s">
        <v>612</v>
      </c>
      <c r="J8" s="96" t="s">
        <v>842</v>
      </c>
      <c r="K8" s="6" t="s">
        <v>88</v>
      </c>
      <c r="L8" s="130" t="s">
        <v>599</v>
      </c>
      <c r="M8" s="130" t="s">
        <v>58</v>
      </c>
      <c r="N8" s="68" t="s">
        <v>70</v>
      </c>
      <c r="O8" s="76">
        <v>44963</v>
      </c>
      <c r="P8" s="4">
        <f>O9+119</f>
        <v>45156</v>
      </c>
      <c r="Q8" s="66" t="s">
        <v>655</v>
      </c>
    </row>
    <row r="9" spans="1:17" s="121" customFormat="1" ht="24" customHeight="1">
      <c r="A9" s="68">
        <v>4</v>
      </c>
      <c r="B9" s="66" t="s">
        <v>613</v>
      </c>
      <c r="C9" s="72" t="s">
        <v>72</v>
      </c>
      <c r="D9" s="72" t="s">
        <v>614</v>
      </c>
      <c r="E9" s="72" t="s">
        <v>615</v>
      </c>
      <c r="F9" s="75" t="s">
        <v>75</v>
      </c>
      <c r="G9" s="75" t="s">
        <v>76</v>
      </c>
      <c r="H9" s="76" t="s">
        <v>616</v>
      </c>
      <c r="I9" s="76" t="s">
        <v>617</v>
      </c>
      <c r="J9" s="96" t="s">
        <v>842</v>
      </c>
      <c r="K9" s="6" t="s">
        <v>87</v>
      </c>
      <c r="L9" s="130" t="s">
        <v>599</v>
      </c>
      <c r="M9" s="130" t="s">
        <v>58</v>
      </c>
      <c r="N9" s="68" t="s">
        <v>70</v>
      </c>
      <c r="O9" s="76">
        <v>45037</v>
      </c>
      <c r="P9" s="4">
        <f t="shared" ref="P9:P12" si="0">O9+119</f>
        <v>45156</v>
      </c>
      <c r="Q9" s="66" t="s">
        <v>655</v>
      </c>
    </row>
    <row r="10" spans="1:17" s="121" customFormat="1" ht="24" customHeight="1">
      <c r="A10" s="68">
        <v>5</v>
      </c>
      <c r="B10" s="66" t="s">
        <v>618</v>
      </c>
      <c r="C10" s="72" t="s">
        <v>72</v>
      </c>
      <c r="D10" s="72" t="s">
        <v>619</v>
      </c>
      <c r="E10" s="72" t="s">
        <v>620</v>
      </c>
      <c r="F10" s="75" t="s">
        <v>75</v>
      </c>
      <c r="G10" s="75" t="s">
        <v>76</v>
      </c>
      <c r="H10" s="76" t="s">
        <v>621</v>
      </c>
      <c r="I10" s="76" t="s">
        <v>622</v>
      </c>
      <c r="J10" s="96" t="s">
        <v>842</v>
      </c>
      <c r="K10" s="6" t="s">
        <v>88</v>
      </c>
      <c r="L10" s="130" t="s">
        <v>599</v>
      </c>
      <c r="M10" s="130" t="s">
        <v>58</v>
      </c>
      <c r="N10" s="68" t="s">
        <v>70</v>
      </c>
      <c r="O10" s="76">
        <v>45170</v>
      </c>
      <c r="P10" s="4">
        <f t="shared" si="0"/>
        <v>45289</v>
      </c>
      <c r="Q10" s="66" t="s">
        <v>655</v>
      </c>
    </row>
    <row r="11" spans="1:17" s="121" customFormat="1" ht="24" customHeight="1">
      <c r="A11" s="68">
        <v>6</v>
      </c>
      <c r="B11" s="66" t="s">
        <v>631</v>
      </c>
      <c r="C11" s="72" t="s">
        <v>3</v>
      </c>
      <c r="D11" s="72" t="s">
        <v>632</v>
      </c>
      <c r="E11" s="72" t="s">
        <v>633</v>
      </c>
      <c r="F11" s="75" t="s">
        <v>2</v>
      </c>
      <c r="G11" s="75" t="s">
        <v>1</v>
      </c>
      <c r="H11" s="76" t="s">
        <v>634</v>
      </c>
      <c r="I11" s="76" t="s">
        <v>635</v>
      </c>
      <c r="J11" s="96" t="s">
        <v>842</v>
      </c>
      <c r="K11" s="6" t="s">
        <v>88</v>
      </c>
      <c r="L11" s="130" t="s">
        <v>599</v>
      </c>
      <c r="M11" s="130" t="s">
        <v>58</v>
      </c>
      <c r="N11" s="68" t="s">
        <v>70</v>
      </c>
      <c r="O11" s="76">
        <v>45366</v>
      </c>
      <c r="P11" s="4">
        <f t="shared" si="0"/>
        <v>45485</v>
      </c>
      <c r="Q11" s="66" t="s">
        <v>655</v>
      </c>
    </row>
    <row r="12" spans="1:17" s="121" customFormat="1" ht="24" customHeight="1">
      <c r="A12" s="68">
        <v>7</v>
      </c>
      <c r="B12" s="66" t="s">
        <v>636</v>
      </c>
      <c r="C12" s="72" t="s">
        <v>72</v>
      </c>
      <c r="D12" s="72" t="s">
        <v>637</v>
      </c>
      <c r="E12" s="72" t="s">
        <v>638</v>
      </c>
      <c r="F12" s="75" t="s">
        <v>75</v>
      </c>
      <c r="G12" s="75" t="s">
        <v>76</v>
      </c>
      <c r="H12" s="76" t="s">
        <v>639</v>
      </c>
      <c r="I12" s="76" t="s">
        <v>640</v>
      </c>
      <c r="J12" s="96" t="s">
        <v>842</v>
      </c>
      <c r="K12" s="6" t="s">
        <v>88</v>
      </c>
      <c r="L12" s="130" t="s">
        <v>599</v>
      </c>
      <c r="M12" s="130" t="s">
        <v>58</v>
      </c>
      <c r="N12" s="68" t="s">
        <v>70</v>
      </c>
      <c r="O12" s="76">
        <v>45876</v>
      </c>
      <c r="P12" s="4">
        <f t="shared" si="0"/>
        <v>45995</v>
      </c>
      <c r="Q12" s="66" t="s">
        <v>655</v>
      </c>
    </row>
    <row r="13" spans="1:17" s="121" customFormat="1" ht="24" customHeight="1">
      <c r="A13" s="68">
        <v>8</v>
      </c>
      <c r="B13" s="66" t="s">
        <v>700</v>
      </c>
      <c r="C13" s="72" t="s">
        <v>72</v>
      </c>
      <c r="D13" s="66" t="s">
        <v>701</v>
      </c>
      <c r="E13" s="66" t="s">
        <v>702</v>
      </c>
      <c r="F13" s="75" t="s">
        <v>75</v>
      </c>
      <c r="G13" s="75" t="s">
        <v>76</v>
      </c>
      <c r="H13" s="66" t="s">
        <v>703</v>
      </c>
      <c r="I13" s="66" t="s">
        <v>704</v>
      </c>
      <c r="J13" s="96" t="s">
        <v>842</v>
      </c>
      <c r="K13" s="6" t="s">
        <v>87</v>
      </c>
      <c r="L13" s="130" t="s">
        <v>599</v>
      </c>
      <c r="M13" s="130" t="s">
        <v>58</v>
      </c>
      <c r="N13" s="68" t="s">
        <v>70</v>
      </c>
      <c r="O13" s="76">
        <v>46059</v>
      </c>
      <c r="P13" s="4">
        <f t="shared" ref="P13:P15" si="1">O13+119</f>
        <v>46178</v>
      </c>
      <c r="Q13" s="77" t="s">
        <v>705</v>
      </c>
    </row>
    <row r="14" spans="1:17" s="121" customFormat="1" ht="24" customHeight="1">
      <c r="A14" s="68">
        <v>9</v>
      </c>
      <c r="B14" s="66" t="s">
        <v>795</v>
      </c>
      <c r="C14" s="72" t="s">
        <v>3</v>
      </c>
      <c r="D14" s="66" t="s">
        <v>790</v>
      </c>
      <c r="E14" s="66" t="s">
        <v>791</v>
      </c>
      <c r="F14" s="75" t="s">
        <v>2</v>
      </c>
      <c r="G14" s="75" t="s">
        <v>1</v>
      </c>
      <c r="H14" s="66" t="s">
        <v>792</v>
      </c>
      <c r="I14" s="66" t="s">
        <v>793</v>
      </c>
      <c r="J14" s="96" t="s">
        <v>842</v>
      </c>
      <c r="K14" s="6" t="s">
        <v>87</v>
      </c>
      <c r="L14" s="130" t="s">
        <v>599</v>
      </c>
      <c r="M14" s="130" t="s">
        <v>58</v>
      </c>
      <c r="N14" s="68" t="s">
        <v>70</v>
      </c>
      <c r="O14" s="76">
        <v>46156</v>
      </c>
      <c r="P14" s="4">
        <f t="shared" si="1"/>
        <v>46275</v>
      </c>
      <c r="Q14" s="77" t="s">
        <v>794</v>
      </c>
    </row>
    <row r="15" spans="1:17" s="121" customFormat="1" ht="24" customHeight="1">
      <c r="A15" s="68">
        <v>10</v>
      </c>
      <c r="B15" s="66" t="s">
        <v>818</v>
      </c>
      <c r="C15" s="72" t="s">
        <v>72</v>
      </c>
      <c r="D15" s="66" t="s">
        <v>819</v>
      </c>
      <c r="E15" s="66" t="s">
        <v>820</v>
      </c>
      <c r="F15" s="74" t="s">
        <v>75</v>
      </c>
      <c r="G15" s="74" t="s">
        <v>76</v>
      </c>
      <c r="H15" s="66" t="s">
        <v>822</v>
      </c>
      <c r="I15" s="66" t="s">
        <v>823</v>
      </c>
      <c r="J15" s="150" t="s">
        <v>842</v>
      </c>
      <c r="K15" s="6" t="s">
        <v>87</v>
      </c>
      <c r="L15" s="151" t="s">
        <v>599</v>
      </c>
      <c r="M15" s="151" t="s">
        <v>58</v>
      </c>
      <c r="N15" s="66" t="s">
        <v>70</v>
      </c>
      <c r="O15" s="72">
        <v>46210</v>
      </c>
      <c r="P15" s="70">
        <f t="shared" si="1"/>
        <v>46329</v>
      </c>
      <c r="Q15" s="77" t="s">
        <v>821</v>
      </c>
    </row>
  </sheetData>
  <autoFilter ref="A5:Q15" xr:uid="{4639F5B4-C5EB-4831-89E5-873B3BED4A49}"/>
  <mergeCells count="15">
    <mergeCell ref="O3:O4"/>
    <mergeCell ref="Q3:Q5"/>
    <mergeCell ref="G3:G5"/>
    <mergeCell ref="H3:I4"/>
    <mergeCell ref="J3:J4"/>
    <mergeCell ref="L3:L4"/>
    <mergeCell ref="M3:M4"/>
    <mergeCell ref="N3:N4"/>
    <mergeCell ref="P3:P5"/>
    <mergeCell ref="K3:K5"/>
    <mergeCell ref="F3:F5"/>
    <mergeCell ref="A3:A5"/>
    <mergeCell ref="B3:B5"/>
    <mergeCell ref="C3:C5"/>
    <mergeCell ref="D3:E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74F5-C3B7-4E5E-ABFD-CAC14CA0E83A}">
  <dimension ref="B3:L15"/>
  <sheetViews>
    <sheetView workbookViewId="0">
      <selection activeCell="M10" sqref="M10"/>
    </sheetView>
  </sheetViews>
  <sheetFormatPr defaultRowHeight="15"/>
  <cols>
    <col min="1" max="1" width="4.85546875" customWidth="1"/>
    <col min="2" max="2" width="17" customWidth="1"/>
    <col min="6" max="6" width="17" customWidth="1"/>
  </cols>
  <sheetData>
    <row r="3" spans="2:12" ht="18.75" customHeight="1">
      <c r="B3" s="159" t="s">
        <v>589</v>
      </c>
      <c r="C3" s="162" t="s">
        <v>31</v>
      </c>
      <c r="D3" s="165" t="s">
        <v>30</v>
      </c>
      <c r="E3" s="166"/>
      <c r="F3" s="174" t="s">
        <v>590</v>
      </c>
      <c r="G3" s="182" t="s">
        <v>719</v>
      </c>
      <c r="H3" s="182"/>
      <c r="I3" s="182"/>
      <c r="J3" s="182"/>
      <c r="K3" s="182"/>
      <c r="L3" s="182"/>
    </row>
    <row r="4" spans="2:12" ht="18.75" customHeight="1">
      <c r="B4" s="160"/>
      <c r="C4" s="163"/>
      <c r="D4" s="167"/>
      <c r="E4" s="168"/>
      <c r="F4" s="175"/>
      <c r="G4" s="182"/>
      <c r="H4" s="182"/>
      <c r="I4" s="182"/>
      <c r="J4" s="182"/>
      <c r="K4" s="182"/>
      <c r="L4" s="182"/>
    </row>
    <row r="5" spans="2:12" ht="23.25">
      <c r="B5" s="161"/>
      <c r="C5" s="164"/>
      <c r="D5" s="128" t="s">
        <v>594</v>
      </c>
      <c r="E5" s="128" t="s">
        <v>595</v>
      </c>
      <c r="F5" s="129" t="s">
        <v>26</v>
      </c>
      <c r="G5" s="134" t="s">
        <v>720</v>
      </c>
      <c r="H5" s="134" t="s">
        <v>1</v>
      </c>
      <c r="I5" s="134" t="s">
        <v>513</v>
      </c>
      <c r="J5" s="134" t="s">
        <v>721</v>
      </c>
      <c r="K5" s="134" t="s">
        <v>514</v>
      </c>
      <c r="L5" s="134" t="s">
        <v>516</v>
      </c>
    </row>
    <row r="6" spans="2:12" ht="21">
      <c r="B6" s="68" t="s">
        <v>600</v>
      </c>
      <c r="C6" s="76" t="s">
        <v>72</v>
      </c>
      <c r="D6" s="72" t="s">
        <v>155</v>
      </c>
      <c r="E6" s="72" t="s">
        <v>156</v>
      </c>
      <c r="F6" s="96" t="s">
        <v>54</v>
      </c>
      <c r="G6" s="135"/>
      <c r="H6" s="135">
        <v>2</v>
      </c>
      <c r="I6" s="135"/>
      <c r="J6" s="135"/>
      <c r="K6" s="135"/>
      <c r="L6" s="60"/>
    </row>
    <row r="7" spans="2:12" ht="21">
      <c r="B7" s="68" t="s">
        <v>603</v>
      </c>
      <c r="C7" s="76" t="s">
        <v>72</v>
      </c>
      <c r="D7" s="72" t="s">
        <v>604</v>
      </c>
      <c r="E7" s="72" t="s">
        <v>605</v>
      </c>
      <c r="F7" s="96" t="s">
        <v>54</v>
      </c>
      <c r="G7" s="135"/>
      <c r="H7" s="135"/>
      <c r="I7" s="135">
        <v>2</v>
      </c>
      <c r="J7" s="135"/>
      <c r="K7" s="135"/>
      <c r="L7" s="60"/>
    </row>
    <row r="8" spans="2:12" ht="21">
      <c r="B8" s="68" t="s">
        <v>608</v>
      </c>
      <c r="C8" s="76" t="s">
        <v>72</v>
      </c>
      <c r="D8" s="72" t="s">
        <v>609</v>
      </c>
      <c r="E8" s="72" t="s">
        <v>610</v>
      </c>
      <c r="F8" s="96" t="s">
        <v>54</v>
      </c>
      <c r="G8" s="135">
        <v>2</v>
      </c>
      <c r="H8" s="135"/>
      <c r="I8" s="135"/>
      <c r="J8" s="135"/>
      <c r="K8" s="135"/>
      <c r="L8" s="60"/>
    </row>
    <row r="9" spans="2:12" ht="21">
      <c r="B9" s="68" t="s">
        <v>613</v>
      </c>
      <c r="C9" s="76" t="s">
        <v>72</v>
      </c>
      <c r="D9" s="72" t="s">
        <v>614</v>
      </c>
      <c r="E9" s="72" t="s">
        <v>615</v>
      </c>
      <c r="F9" s="96" t="s">
        <v>54</v>
      </c>
      <c r="G9" s="135">
        <v>2</v>
      </c>
      <c r="H9" s="135"/>
      <c r="I9" s="135"/>
      <c r="J9" s="135"/>
      <c r="K9" s="135"/>
      <c r="L9" s="60"/>
    </row>
    <row r="10" spans="2:12" ht="21">
      <c r="B10" s="68" t="s">
        <v>618</v>
      </c>
      <c r="C10" s="76" t="s">
        <v>72</v>
      </c>
      <c r="D10" s="72" t="s">
        <v>619</v>
      </c>
      <c r="E10" s="72" t="s">
        <v>620</v>
      </c>
      <c r="F10" s="96" t="s">
        <v>54</v>
      </c>
      <c r="G10" s="135"/>
      <c r="H10" s="135"/>
      <c r="I10" s="135">
        <v>2</v>
      </c>
      <c r="J10" s="135"/>
      <c r="K10" s="135"/>
      <c r="L10" s="60"/>
    </row>
    <row r="11" spans="2:12" ht="21">
      <c r="B11" s="68" t="s">
        <v>623</v>
      </c>
      <c r="C11" s="76" t="s">
        <v>3</v>
      </c>
      <c r="D11" s="72" t="s">
        <v>624</v>
      </c>
      <c r="E11" s="72" t="s">
        <v>625</v>
      </c>
      <c r="F11" s="96" t="s">
        <v>54</v>
      </c>
      <c r="G11" s="135"/>
      <c r="H11" s="135"/>
      <c r="I11" s="135"/>
      <c r="J11" s="135">
        <v>2</v>
      </c>
      <c r="K11" s="135"/>
      <c r="L11" s="60"/>
    </row>
    <row r="12" spans="2:12" ht="21">
      <c r="B12" s="68" t="s">
        <v>626</v>
      </c>
      <c r="C12" s="76" t="s">
        <v>72</v>
      </c>
      <c r="D12" s="72" t="s">
        <v>627</v>
      </c>
      <c r="E12" s="72" t="s">
        <v>628</v>
      </c>
      <c r="F12" s="96" t="s">
        <v>54</v>
      </c>
      <c r="G12" s="135"/>
      <c r="H12" s="135"/>
      <c r="I12" s="135"/>
      <c r="J12" s="135">
        <v>2</v>
      </c>
      <c r="K12" s="135"/>
      <c r="L12" s="60"/>
    </row>
    <row r="13" spans="2:12" ht="21">
      <c r="B13" s="68" t="s">
        <v>631</v>
      </c>
      <c r="C13" s="76" t="s">
        <v>3</v>
      </c>
      <c r="D13" s="72" t="s">
        <v>632</v>
      </c>
      <c r="E13" s="72" t="s">
        <v>633</v>
      </c>
      <c r="F13" s="96" t="s">
        <v>54</v>
      </c>
      <c r="G13" s="135"/>
      <c r="H13" s="135"/>
      <c r="I13" s="135"/>
      <c r="J13" s="135">
        <v>2</v>
      </c>
      <c r="K13" s="135"/>
      <c r="L13" s="60"/>
    </row>
    <row r="14" spans="2:12" ht="21">
      <c r="B14" s="68" t="s">
        <v>636</v>
      </c>
      <c r="C14" s="76" t="s">
        <v>72</v>
      </c>
      <c r="D14" s="72" t="s">
        <v>637</v>
      </c>
      <c r="E14" s="72" t="s">
        <v>638</v>
      </c>
      <c r="F14" s="96" t="s">
        <v>54</v>
      </c>
      <c r="G14" s="135"/>
      <c r="H14" s="135">
        <v>2</v>
      </c>
      <c r="I14" s="135"/>
      <c r="J14" s="135"/>
      <c r="K14" s="135"/>
      <c r="L14" s="60"/>
    </row>
    <row r="15" spans="2:12" ht="21">
      <c r="B15" s="66" t="s">
        <v>700</v>
      </c>
      <c r="C15" s="76" t="s">
        <v>72</v>
      </c>
      <c r="D15" s="66" t="s">
        <v>701</v>
      </c>
      <c r="E15" s="66" t="s">
        <v>702</v>
      </c>
      <c r="F15" s="96" t="s">
        <v>54</v>
      </c>
      <c r="G15" s="135"/>
      <c r="H15" s="135">
        <v>2</v>
      </c>
      <c r="I15" s="135"/>
      <c r="J15" s="135"/>
      <c r="K15" s="135"/>
      <c r="L15" s="60"/>
    </row>
  </sheetData>
  <mergeCells count="5">
    <mergeCell ref="G3:L4"/>
    <mergeCell ref="B3:B5"/>
    <mergeCell ref="C3:C5"/>
    <mergeCell ref="D3:E4"/>
    <mergeCell ref="F3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E198-0EBB-48AA-9550-863163F2D2B9}">
  <dimension ref="A2:L3"/>
  <sheetViews>
    <sheetView showGridLines="0" workbookViewId="0">
      <selection activeCell="L13" sqref="L13"/>
    </sheetView>
  </sheetViews>
  <sheetFormatPr defaultRowHeight="15"/>
  <cols>
    <col min="1" max="1" width="7.28515625" customWidth="1"/>
    <col min="2" max="2" width="13.85546875" customWidth="1"/>
    <col min="7" max="10" width="0" hidden="1" customWidth="1"/>
    <col min="11" max="11" width="23.7109375" customWidth="1"/>
    <col min="12" max="12" width="41.28515625" customWidth="1"/>
  </cols>
  <sheetData>
    <row r="2" spans="1:12" ht="22.5" customHeight="1">
      <c r="A2" s="100" t="s">
        <v>33</v>
      </c>
      <c r="B2" s="100" t="s">
        <v>32</v>
      </c>
      <c r="C2" s="101" t="s">
        <v>31</v>
      </c>
      <c r="D2" s="102" t="s">
        <v>40</v>
      </c>
      <c r="E2" s="102" t="s">
        <v>41</v>
      </c>
      <c r="F2" s="101" t="s">
        <v>45</v>
      </c>
      <c r="G2" s="103" t="s">
        <v>29</v>
      </c>
      <c r="H2" s="104" t="s">
        <v>28</v>
      </c>
      <c r="I2" s="105" t="s">
        <v>56</v>
      </c>
      <c r="J2" s="105" t="s">
        <v>42</v>
      </c>
      <c r="K2" s="106" t="s">
        <v>26</v>
      </c>
      <c r="L2" s="111" t="s">
        <v>21</v>
      </c>
    </row>
    <row r="3" spans="1:12" ht="21">
      <c r="A3" s="61">
        <v>1</v>
      </c>
      <c r="B3" s="6" t="s">
        <v>707</v>
      </c>
      <c r="C3" s="65" t="s">
        <v>3</v>
      </c>
      <c r="D3" s="66" t="s">
        <v>708</v>
      </c>
      <c r="E3" s="61" t="s">
        <v>709</v>
      </c>
      <c r="F3" s="6" t="s">
        <v>105</v>
      </c>
      <c r="G3" s="67"/>
      <c r="H3" s="67"/>
      <c r="I3" s="61"/>
      <c r="J3" s="61"/>
      <c r="K3" s="61" t="s">
        <v>710</v>
      </c>
      <c r="L3" s="61" t="s">
        <v>706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E6DF-95CB-433B-8451-BBF5A7967658}">
  <dimension ref="B2:H10"/>
  <sheetViews>
    <sheetView workbookViewId="0">
      <selection activeCell="G20" sqref="G20"/>
    </sheetView>
  </sheetViews>
  <sheetFormatPr defaultRowHeight="15"/>
  <cols>
    <col min="2" max="2" width="10.28515625" bestFit="1" customWidth="1"/>
    <col min="5" max="5" width="10.5703125" bestFit="1" customWidth="1"/>
    <col min="6" max="6" width="14.140625" bestFit="1" customWidth="1"/>
    <col min="8" max="8" width="44.7109375" bestFit="1" customWidth="1"/>
  </cols>
  <sheetData>
    <row r="2" spans="2:8">
      <c r="F2" t="s">
        <v>509</v>
      </c>
      <c r="G2" t="s">
        <v>512</v>
      </c>
    </row>
    <row r="3" spans="2:8" ht="15.75">
      <c r="B3" s="53" t="s">
        <v>331</v>
      </c>
      <c r="C3" s="46" t="s">
        <v>72</v>
      </c>
      <c r="D3" s="47" t="s">
        <v>157</v>
      </c>
      <c r="E3" s="46" t="s">
        <v>158</v>
      </c>
      <c r="F3" s="60" t="s">
        <v>510</v>
      </c>
      <c r="G3" s="60" t="s">
        <v>1</v>
      </c>
      <c r="H3" s="60"/>
    </row>
    <row r="4" spans="2:8" ht="15.75">
      <c r="B4" s="43" t="s">
        <v>95</v>
      </c>
      <c r="C4" s="49" t="s">
        <v>3</v>
      </c>
      <c r="D4" s="44" t="s">
        <v>96</v>
      </c>
      <c r="E4" s="43" t="s">
        <v>97</v>
      </c>
      <c r="F4" s="60" t="s">
        <v>511</v>
      </c>
      <c r="G4" s="60" t="s">
        <v>513</v>
      </c>
      <c r="H4" s="60"/>
    </row>
    <row r="5" spans="2:8" ht="15.75">
      <c r="B5" s="54" t="s">
        <v>341</v>
      </c>
      <c r="C5" s="50" t="s">
        <v>3</v>
      </c>
      <c r="D5" s="50" t="s">
        <v>182</v>
      </c>
      <c r="E5" s="50" t="s">
        <v>183</v>
      </c>
      <c r="F5" s="60" t="s">
        <v>511</v>
      </c>
      <c r="G5" s="60" t="s">
        <v>513</v>
      </c>
      <c r="H5" s="60"/>
    </row>
    <row r="6" spans="2:8" ht="15.75">
      <c r="B6" s="55" t="s">
        <v>324</v>
      </c>
      <c r="C6" s="47" t="s">
        <v>3</v>
      </c>
      <c r="D6" s="47" t="s">
        <v>107</v>
      </c>
      <c r="E6" s="47" t="s">
        <v>108</v>
      </c>
      <c r="F6" s="60" t="s">
        <v>511</v>
      </c>
      <c r="G6" s="60" t="s">
        <v>513</v>
      </c>
      <c r="H6" s="60"/>
    </row>
    <row r="7" spans="2:8" ht="15.75">
      <c r="B7" s="47" t="s">
        <v>200</v>
      </c>
      <c r="C7" s="46" t="s">
        <v>3</v>
      </c>
      <c r="D7" s="46" t="s">
        <v>201</v>
      </c>
      <c r="E7" s="46" t="s">
        <v>202</v>
      </c>
      <c r="F7" s="60" t="s">
        <v>511</v>
      </c>
      <c r="G7" s="60" t="s">
        <v>513</v>
      </c>
      <c r="H7" s="60"/>
    </row>
    <row r="8" spans="2:8" ht="15.75">
      <c r="B8" s="48" t="s">
        <v>279</v>
      </c>
      <c r="C8" s="46" t="s">
        <v>3</v>
      </c>
      <c r="D8" s="46" t="s">
        <v>147</v>
      </c>
      <c r="E8" s="48" t="s">
        <v>280</v>
      </c>
      <c r="F8" s="60" t="s">
        <v>511</v>
      </c>
      <c r="G8" s="60" t="s">
        <v>514</v>
      </c>
      <c r="H8" s="60"/>
    </row>
    <row r="9" spans="2:8" ht="15.75">
      <c r="B9" s="46" t="s">
        <v>236</v>
      </c>
      <c r="C9" s="46" t="s">
        <v>3</v>
      </c>
      <c r="D9" s="46" t="s">
        <v>237</v>
      </c>
      <c r="E9" s="48" t="s">
        <v>238</v>
      </c>
      <c r="F9" s="60" t="s">
        <v>515</v>
      </c>
      <c r="G9" s="60" t="s">
        <v>516</v>
      </c>
      <c r="H9" s="60" t="s">
        <v>517</v>
      </c>
    </row>
    <row r="10" spans="2:8" ht="15.75">
      <c r="B10" s="60"/>
      <c r="C10" s="46" t="s">
        <v>3</v>
      </c>
      <c r="D10" s="46" t="s">
        <v>518</v>
      </c>
      <c r="E10" s="60"/>
      <c r="F10" s="60" t="s">
        <v>511</v>
      </c>
      <c r="G10" s="60" t="s">
        <v>513</v>
      </c>
      <c r="H10" s="60" t="s">
        <v>519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D125-CE97-4818-8465-62C647034B46}">
  <dimension ref="B3:G34"/>
  <sheetViews>
    <sheetView topLeftCell="A6" workbookViewId="0">
      <selection activeCell="M10" sqref="M10"/>
    </sheetView>
  </sheetViews>
  <sheetFormatPr defaultRowHeight="15"/>
  <sheetData>
    <row r="3" spans="2:7" ht="15.75">
      <c r="B3" s="51" t="s">
        <v>374</v>
      </c>
      <c r="C3" s="51" t="s">
        <v>3</v>
      </c>
      <c r="D3" s="50" t="s">
        <v>375</v>
      </c>
      <c r="E3" s="51" t="s">
        <v>376</v>
      </c>
    </row>
    <row r="4" spans="2:7" ht="15.75">
      <c r="B4" s="51" t="s">
        <v>385</v>
      </c>
      <c r="C4" s="51" t="s">
        <v>3</v>
      </c>
      <c r="D4" s="50" t="s">
        <v>386</v>
      </c>
      <c r="E4" s="51" t="s">
        <v>387</v>
      </c>
      <c r="F4" s="43" t="s">
        <v>87</v>
      </c>
    </row>
    <row r="5" spans="2:7" ht="15.75">
      <c r="B5" s="53" t="s">
        <v>327</v>
      </c>
      <c r="C5" s="46" t="s">
        <v>72</v>
      </c>
      <c r="D5" s="47" t="s">
        <v>140</v>
      </c>
      <c r="E5" s="46" t="s">
        <v>141</v>
      </c>
      <c r="F5" s="43" t="s">
        <v>88</v>
      </c>
    </row>
    <row r="6" spans="2:7" ht="15.75">
      <c r="B6" s="53" t="s">
        <v>328</v>
      </c>
      <c r="C6" s="46" t="s">
        <v>3</v>
      </c>
      <c r="D6" s="47" t="s">
        <v>147</v>
      </c>
      <c r="E6" s="46" t="s">
        <v>148</v>
      </c>
      <c r="F6" s="46" t="s">
        <v>88</v>
      </c>
    </row>
    <row r="7" spans="2:7" ht="15.75">
      <c r="B7" s="53" t="s">
        <v>332</v>
      </c>
      <c r="C7" s="46" t="s">
        <v>3</v>
      </c>
      <c r="D7" s="47" t="s">
        <v>159</v>
      </c>
      <c r="E7" s="46" t="s">
        <v>160</v>
      </c>
      <c r="F7" s="46" t="s">
        <v>88</v>
      </c>
    </row>
    <row r="8" spans="2:7" ht="15.75">
      <c r="B8" s="54" t="s">
        <v>336</v>
      </c>
      <c r="C8" s="50" t="s">
        <v>72</v>
      </c>
      <c r="D8" s="50" t="s">
        <v>172</v>
      </c>
      <c r="E8" s="50" t="s">
        <v>173</v>
      </c>
      <c r="F8" s="46" t="s">
        <v>88</v>
      </c>
    </row>
    <row r="9" spans="2:7" ht="15.75">
      <c r="B9" s="53" t="s">
        <v>348</v>
      </c>
      <c r="C9" s="46" t="s">
        <v>3</v>
      </c>
      <c r="D9" s="46" t="s">
        <v>257</v>
      </c>
      <c r="E9" s="48" t="s">
        <v>258</v>
      </c>
      <c r="F9" s="46" t="s">
        <v>88</v>
      </c>
    </row>
    <row r="10" spans="2:7" ht="15.75">
      <c r="B10" s="53" t="s">
        <v>322</v>
      </c>
      <c r="C10" s="46" t="s">
        <v>3</v>
      </c>
      <c r="D10" s="47" t="s">
        <v>82</v>
      </c>
      <c r="E10" s="46" t="s">
        <v>83</v>
      </c>
      <c r="F10" s="43" t="s">
        <v>87</v>
      </c>
    </row>
    <row r="11" spans="2:7" ht="15.75">
      <c r="B11" s="53" t="s">
        <v>326</v>
      </c>
      <c r="C11" s="46" t="s">
        <v>72</v>
      </c>
      <c r="D11" s="47" t="s">
        <v>138</v>
      </c>
      <c r="E11" s="46" t="s">
        <v>144</v>
      </c>
      <c r="F11" s="46" t="s">
        <v>87</v>
      </c>
    </row>
    <row r="12" spans="2:7" ht="15.75">
      <c r="B12" s="54" t="s">
        <v>338</v>
      </c>
      <c r="C12" s="50" t="s">
        <v>3</v>
      </c>
      <c r="D12" s="50" t="s">
        <v>175</v>
      </c>
      <c r="E12" s="50" t="s">
        <v>176</v>
      </c>
      <c r="F12" s="46" t="s">
        <v>87</v>
      </c>
    </row>
    <row r="13" spans="2:7" ht="15.75">
      <c r="B13" s="53" t="s">
        <v>344</v>
      </c>
      <c r="C13" s="46" t="s">
        <v>3</v>
      </c>
      <c r="D13" s="46" t="s">
        <v>207</v>
      </c>
      <c r="E13" s="46" t="s">
        <v>208</v>
      </c>
      <c r="F13" s="43" t="s">
        <v>87</v>
      </c>
    </row>
    <row r="14" spans="2:7" ht="15.75">
      <c r="B14" s="53" t="s">
        <v>333</v>
      </c>
      <c r="C14" s="46" t="s">
        <v>72</v>
      </c>
      <c r="D14" s="47" t="s">
        <v>163</v>
      </c>
      <c r="E14" s="46" t="s">
        <v>164</v>
      </c>
      <c r="F14" s="46" t="s">
        <v>88</v>
      </c>
      <c r="G14" s="52" t="s">
        <v>75</v>
      </c>
    </row>
    <row r="15" spans="2:7" ht="15.75">
      <c r="B15" s="54" t="s">
        <v>337</v>
      </c>
      <c r="C15" s="50" t="s">
        <v>3</v>
      </c>
      <c r="D15" s="50" t="s">
        <v>79</v>
      </c>
      <c r="E15" s="50" t="s">
        <v>174</v>
      </c>
      <c r="F15" s="46" t="s">
        <v>88</v>
      </c>
    </row>
    <row r="16" spans="2:7" ht="15.75">
      <c r="B16" s="57" t="s">
        <v>390</v>
      </c>
      <c r="C16" s="57" t="s">
        <v>3</v>
      </c>
      <c r="D16" s="57" t="s">
        <v>388</v>
      </c>
      <c r="E16" s="57" t="s">
        <v>389</v>
      </c>
      <c r="F16" s="58" t="s">
        <v>87</v>
      </c>
    </row>
    <row r="17" spans="2:6" ht="15.75">
      <c r="B17" s="55" t="s">
        <v>323</v>
      </c>
      <c r="C17" s="47" t="s">
        <v>3</v>
      </c>
      <c r="D17" s="47" t="s">
        <v>106</v>
      </c>
      <c r="E17" s="47" t="s">
        <v>97</v>
      </c>
      <c r="F17" s="44" t="s">
        <v>87</v>
      </c>
    </row>
    <row r="18" spans="2:6" ht="15.75">
      <c r="B18" s="53" t="s">
        <v>329</v>
      </c>
      <c r="C18" s="46" t="s">
        <v>72</v>
      </c>
      <c r="D18" s="47" t="s">
        <v>150</v>
      </c>
      <c r="E18" s="46" t="s">
        <v>81</v>
      </c>
      <c r="F18" s="46" t="s">
        <v>87</v>
      </c>
    </row>
    <row r="19" spans="2:6" ht="15.75">
      <c r="B19" s="54" t="s">
        <v>339</v>
      </c>
      <c r="C19" s="50" t="s">
        <v>3</v>
      </c>
      <c r="D19" s="50" t="s">
        <v>178</v>
      </c>
      <c r="E19" s="50" t="s">
        <v>179</v>
      </c>
      <c r="F19" s="56" t="s">
        <v>87</v>
      </c>
    </row>
    <row r="20" spans="2:6" ht="15.75">
      <c r="B20" s="53" t="s">
        <v>345</v>
      </c>
      <c r="C20" s="46" t="s">
        <v>72</v>
      </c>
      <c r="D20" s="46" t="s">
        <v>218</v>
      </c>
      <c r="E20" s="46" t="s">
        <v>219</v>
      </c>
      <c r="F20" s="43" t="s">
        <v>87</v>
      </c>
    </row>
    <row r="21" spans="2:6" ht="15.75">
      <c r="B21" s="53" t="s">
        <v>334</v>
      </c>
      <c r="C21" s="46" t="s">
        <v>3</v>
      </c>
      <c r="D21" s="47" t="s">
        <v>168</v>
      </c>
      <c r="E21" s="47" t="s">
        <v>89</v>
      </c>
      <c r="F21" s="43" t="s">
        <v>88</v>
      </c>
    </row>
    <row r="22" spans="2:6" ht="15.75">
      <c r="B22" s="53" t="s">
        <v>343</v>
      </c>
      <c r="C22" s="50" t="s">
        <v>3</v>
      </c>
      <c r="D22" s="50" t="s">
        <v>203</v>
      </c>
      <c r="E22" s="50" t="s">
        <v>204</v>
      </c>
      <c r="F22" s="43" t="s">
        <v>88</v>
      </c>
    </row>
    <row r="23" spans="2:6" ht="15.75">
      <c r="B23" s="51" t="s">
        <v>394</v>
      </c>
      <c r="C23" s="51" t="s">
        <v>3</v>
      </c>
      <c r="D23" s="51" t="s">
        <v>392</v>
      </c>
      <c r="E23" s="51" t="s">
        <v>393</v>
      </c>
      <c r="F23" s="43" t="s">
        <v>87</v>
      </c>
    </row>
    <row r="24" spans="2:6" ht="15.75">
      <c r="B24" s="55" t="s">
        <v>324</v>
      </c>
      <c r="C24" s="47" t="s">
        <v>3</v>
      </c>
      <c r="D24" s="47" t="s">
        <v>107</v>
      </c>
      <c r="E24" s="47" t="s">
        <v>108</v>
      </c>
      <c r="F24" s="43" t="s">
        <v>87</v>
      </c>
    </row>
    <row r="25" spans="2:6" ht="15.75">
      <c r="B25" s="53" t="s">
        <v>330</v>
      </c>
      <c r="C25" s="46" t="s">
        <v>72</v>
      </c>
      <c r="D25" s="47" t="s">
        <v>155</v>
      </c>
      <c r="E25" s="46" t="s">
        <v>156</v>
      </c>
      <c r="F25" s="43" t="s">
        <v>87</v>
      </c>
    </row>
    <row r="26" spans="2:6" ht="15.75">
      <c r="B26" s="54" t="s">
        <v>340</v>
      </c>
      <c r="C26" s="50" t="s">
        <v>3</v>
      </c>
      <c r="D26" s="50" t="s">
        <v>180</v>
      </c>
      <c r="E26" s="50" t="s">
        <v>181</v>
      </c>
      <c r="F26" s="46" t="s">
        <v>87</v>
      </c>
    </row>
    <row r="27" spans="2:6" ht="15.75">
      <c r="B27" s="54" t="s">
        <v>346</v>
      </c>
      <c r="C27" s="51" t="s">
        <v>72</v>
      </c>
      <c r="D27" s="50" t="s">
        <v>223</v>
      </c>
      <c r="E27" s="50" t="s">
        <v>224</v>
      </c>
      <c r="F27" s="43" t="s">
        <v>87</v>
      </c>
    </row>
    <row r="28" spans="2:6" ht="15.75">
      <c r="B28" s="54" t="s">
        <v>335</v>
      </c>
      <c r="C28" s="50" t="s">
        <v>3</v>
      </c>
      <c r="D28" s="50" t="s">
        <v>170</v>
      </c>
      <c r="E28" s="50" t="s">
        <v>171</v>
      </c>
      <c r="F28" s="46" t="s">
        <v>88</v>
      </c>
    </row>
    <row r="29" spans="2:6" ht="15.75">
      <c r="B29" s="53" t="s">
        <v>347</v>
      </c>
      <c r="C29" s="46" t="s">
        <v>3</v>
      </c>
      <c r="D29" s="46" t="s">
        <v>254</v>
      </c>
      <c r="E29" s="48" t="s">
        <v>255</v>
      </c>
      <c r="F29" s="46" t="s">
        <v>88</v>
      </c>
    </row>
    <row r="30" spans="2:6" ht="15.75">
      <c r="B30" s="53" t="s">
        <v>321</v>
      </c>
      <c r="C30" s="46" t="s">
        <v>72</v>
      </c>
      <c r="D30" s="47" t="s">
        <v>80</v>
      </c>
      <c r="E30" s="46" t="s">
        <v>81</v>
      </c>
      <c r="F30" s="43" t="s">
        <v>87</v>
      </c>
    </row>
    <row r="31" spans="2:6" ht="15.75">
      <c r="B31" s="53" t="s">
        <v>325</v>
      </c>
      <c r="C31" s="46" t="s">
        <v>3</v>
      </c>
      <c r="D31" s="47" t="s">
        <v>128</v>
      </c>
      <c r="E31" s="46" t="s">
        <v>129</v>
      </c>
      <c r="F31" s="43" t="s">
        <v>87</v>
      </c>
    </row>
    <row r="32" spans="2:6" ht="15.75">
      <c r="B32" s="53" t="s">
        <v>331</v>
      </c>
      <c r="C32" s="46" t="s">
        <v>72</v>
      </c>
      <c r="D32" s="47" t="s">
        <v>157</v>
      </c>
      <c r="E32" s="46" t="s">
        <v>158</v>
      </c>
      <c r="F32" s="46" t="s">
        <v>87</v>
      </c>
    </row>
    <row r="33" spans="2:6" ht="15.75">
      <c r="B33" s="54" t="s">
        <v>341</v>
      </c>
      <c r="C33" s="50" t="s">
        <v>3</v>
      </c>
      <c r="D33" s="50" t="s">
        <v>182</v>
      </c>
      <c r="E33" s="50" t="s">
        <v>183</v>
      </c>
      <c r="F33" s="46" t="s">
        <v>87</v>
      </c>
    </row>
    <row r="34" spans="2:6" ht="15.75">
      <c r="B34" s="50" t="s">
        <v>382</v>
      </c>
      <c r="C34" s="50" t="s">
        <v>3</v>
      </c>
      <c r="D34" s="50" t="s">
        <v>380</v>
      </c>
      <c r="E34" s="50" t="s">
        <v>381</v>
      </c>
      <c r="F34" s="43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1:R12"/>
  <sheetViews>
    <sheetView zoomScale="85" zoomScaleNormal="85" workbookViewId="0">
      <selection activeCell="F9" sqref="F9"/>
    </sheetView>
  </sheetViews>
  <sheetFormatPr defaultRowHeight="15" outlineLevelCol="1"/>
  <cols>
    <col min="1" max="1" width="11.28515625" bestFit="1" customWidth="1"/>
    <col min="2" max="2" width="17.5703125" bestFit="1" customWidth="1"/>
    <col min="3" max="3" width="14.28515625" bestFit="1" customWidth="1"/>
    <col min="4" max="4" width="9.42578125" customWidth="1"/>
    <col min="5" max="5" width="12.28515625" customWidth="1"/>
    <col min="6" max="6" width="10.42578125" bestFit="1" customWidth="1"/>
    <col min="7" max="7" width="10.42578125" style="19" hidden="1" customWidth="1" outlineLevel="1"/>
    <col min="8" max="8" width="9.5703125" style="19" hidden="1" customWidth="1" outlineLevel="1"/>
    <col min="9" max="9" width="10.5703125" hidden="1" customWidth="1" outlineLevel="1"/>
    <col min="10" max="10" width="11.85546875" hidden="1" customWidth="1" outlineLevel="1"/>
    <col min="11" max="11" width="13.42578125" bestFit="1" customWidth="1" collapsed="1"/>
    <col min="12" max="12" width="16.140625" bestFit="1" customWidth="1"/>
    <col min="13" max="13" width="16" bestFit="1" customWidth="1"/>
    <col min="14" max="14" width="19.42578125" bestFit="1" customWidth="1"/>
    <col min="15" max="15" width="15.5703125" bestFit="1" customWidth="1"/>
    <col min="16" max="16" width="12.42578125" bestFit="1" customWidth="1"/>
    <col min="17" max="17" width="22.140625" customWidth="1"/>
    <col min="18" max="18" width="21.140625" bestFit="1" customWidth="1"/>
  </cols>
  <sheetData>
    <row r="1" spans="1:18" ht="23.25">
      <c r="A1" s="18" t="s">
        <v>33</v>
      </c>
      <c r="B1" s="18" t="s">
        <v>32</v>
      </c>
      <c r="C1" s="17" t="s">
        <v>31</v>
      </c>
      <c r="D1" s="183" t="s">
        <v>30</v>
      </c>
      <c r="E1" s="184"/>
      <c r="F1" s="27" t="s">
        <v>45</v>
      </c>
      <c r="G1" s="14" t="s">
        <v>29</v>
      </c>
      <c r="H1" s="14" t="s">
        <v>28</v>
      </c>
      <c r="I1" s="185" t="s">
        <v>27</v>
      </c>
      <c r="J1" s="186"/>
      <c r="K1" s="14" t="s">
        <v>26</v>
      </c>
      <c r="L1" s="28" t="s">
        <v>37</v>
      </c>
      <c r="M1" s="16" t="s">
        <v>25</v>
      </c>
      <c r="N1" s="15" t="s">
        <v>24</v>
      </c>
      <c r="O1" s="14" t="s">
        <v>23</v>
      </c>
      <c r="P1" s="14" t="s">
        <v>22</v>
      </c>
      <c r="Q1" s="14" t="s">
        <v>21</v>
      </c>
    </row>
    <row r="2" spans="1:18" ht="21">
      <c r="A2" s="1">
        <v>1</v>
      </c>
      <c r="B2" s="12" t="s">
        <v>20</v>
      </c>
      <c r="C2" s="4" t="s">
        <v>3</v>
      </c>
      <c r="D2" s="4" t="s">
        <v>19</v>
      </c>
      <c r="E2" s="4" t="s">
        <v>18</v>
      </c>
      <c r="F2" s="4" t="s">
        <v>46</v>
      </c>
      <c r="G2" s="2" t="s">
        <v>2</v>
      </c>
      <c r="H2" s="2" t="s">
        <v>1</v>
      </c>
      <c r="I2" s="4" t="s">
        <v>17</v>
      </c>
      <c r="J2" s="4" t="s">
        <v>16</v>
      </c>
      <c r="K2" s="6" t="s">
        <v>5</v>
      </c>
      <c r="L2" s="6" t="s">
        <v>38</v>
      </c>
      <c r="M2" s="2">
        <v>42644</v>
      </c>
      <c r="N2" s="11">
        <v>42763</v>
      </c>
      <c r="O2" s="1" t="s">
        <v>34</v>
      </c>
      <c r="P2" s="10" t="s">
        <v>57</v>
      </c>
      <c r="Q2" s="13"/>
      <c r="R2" s="20" t="str">
        <f t="shared" ref="R2:R5" si="0">C2&amp;" "&amp;D2&amp;"  "&amp;E2</f>
        <v>นาย นเรศ  ชมกร่ำ</v>
      </c>
    </row>
    <row r="3" spans="1:18" ht="21">
      <c r="A3" s="1">
        <v>2</v>
      </c>
      <c r="B3" s="1" t="s">
        <v>10</v>
      </c>
      <c r="C3" s="8" t="s">
        <v>3</v>
      </c>
      <c r="D3" s="4" t="s">
        <v>9</v>
      </c>
      <c r="E3" s="4" t="s">
        <v>8</v>
      </c>
      <c r="F3" s="4" t="s">
        <v>46</v>
      </c>
      <c r="G3" s="9" t="s">
        <v>2</v>
      </c>
      <c r="H3" s="9" t="s">
        <v>1</v>
      </c>
      <c r="I3" s="4" t="s">
        <v>7</v>
      </c>
      <c r="J3" s="4" t="s">
        <v>6</v>
      </c>
      <c r="K3" s="6" t="s">
        <v>5</v>
      </c>
      <c r="L3" s="6" t="s">
        <v>38</v>
      </c>
      <c r="M3" s="2">
        <v>42755</v>
      </c>
      <c r="N3" s="2">
        <v>42874</v>
      </c>
      <c r="O3" s="2" t="s">
        <v>36</v>
      </c>
      <c r="P3" s="10" t="s">
        <v>57</v>
      </c>
      <c r="Q3" s="13"/>
      <c r="R3" s="20" t="str">
        <f t="shared" si="0"/>
        <v>นาย ไกรราช  เปล่งคอนสาร</v>
      </c>
    </row>
    <row r="4" spans="1:18" ht="21">
      <c r="A4" s="34">
        <v>3</v>
      </c>
      <c r="B4" s="34" t="s">
        <v>14</v>
      </c>
      <c r="C4" s="37" t="s">
        <v>3</v>
      </c>
      <c r="D4" s="32" t="s">
        <v>13</v>
      </c>
      <c r="E4" s="32" t="s">
        <v>12</v>
      </c>
      <c r="F4" s="38" t="s">
        <v>47</v>
      </c>
      <c r="G4" s="39" t="s">
        <v>2</v>
      </c>
      <c r="H4" s="39" t="s">
        <v>1</v>
      </c>
      <c r="I4" s="32" t="s">
        <v>4</v>
      </c>
      <c r="J4" s="32" t="s">
        <v>11</v>
      </c>
      <c r="K4" s="33" t="s">
        <v>5</v>
      </c>
      <c r="L4" s="33" t="s">
        <v>38</v>
      </c>
      <c r="M4" s="35">
        <v>42738</v>
      </c>
      <c r="N4" s="35">
        <v>42857</v>
      </c>
      <c r="O4" s="35" t="s">
        <v>35</v>
      </c>
      <c r="P4" s="40" t="s">
        <v>57</v>
      </c>
      <c r="Q4" s="36" t="s">
        <v>65</v>
      </c>
      <c r="R4" s="20" t="str">
        <f t="shared" si="0"/>
        <v>นาย ศราวุธ  นามกอง</v>
      </c>
    </row>
    <row r="5" spans="1:18" ht="21">
      <c r="A5" s="1">
        <v>4</v>
      </c>
      <c r="B5" s="1" t="s">
        <v>60</v>
      </c>
      <c r="C5" s="5" t="s">
        <v>3</v>
      </c>
      <c r="D5" s="7" t="s">
        <v>61</v>
      </c>
      <c r="E5" s="7" t="s">
        <v>62</v>
      </c>
      <c r="F5" s="7" t="s">
        <v>47</v>
      </c>
      <c r="G5" s="3"/>
      <c r="H5" s="3"/>
      <c r="I5" s="7"/>
      <c r="J5" s="7"/>
      <c r="K5" s="6" t="s">
        <v>5</v>
      </c>
      <c r="L5" s="6" t="s">
        <v>38</v>
      </c>
      <c r="M5" s="2">
        <v>6164</v>
      </c>
      <c r="N5" s="2">
        <f>M5+120</f>
        <v>6284</v>
      </c>
      <c r="O5" s="3" t="s">
        <v>63</v>
      </c>
      <c r="P5" s="10" t="s">
        <v>57</v>
      </c>
      <c r="Q5" s="13"/>
      <c r="R5" s="20" t="str">
        <f t="shared" si="0"/>
        <v>นาย วรวุฒิ  นิลมังกร</v>
      </c>
    </row>
    <row r="8" spans="1:18">
      <c r="G8"/>
      <c r="H8"/>
    </row>
    <row r="9" spans="1:18">
      <c r="G9"/>
      <c r="H9"/>
    </row>
    <row r="10" spans="1:18">
      <c r="G10"/>
      <c r="H10"/>
    </row>
    <row r="11" spans="1:18">
      <c r="G11"/>
      <c r="H11"/>
    </row>
    <row r="12" spans="1:18">
      <c r="G12"/>
      <c r="H12"/>
    </row>
  </sheetData>
  <autoFilter ref="A1:R5" xr:uid="{00000000-0009-0000-0000-000002000000}">
    <filterColumn colId="3" showButton="0"/>
    <filterColumn colId="8" showButton="0"/>
  </autoFilter>
  <mergeCells count="2">
    <mergeCell ref="D1:E1"/>
    <mergeCell ref="I1:J1"/>
  </mergeCells>
  <conditionalFormatting sqref="O3:O4">
    <cfRule type="expression" dxfId="0" priority="1">
      <formula>MONTH(#REF!)=MONTH(O3)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Sheet1</vt:lpstr>
      <vt:lpstr>Operation </vt:lpstr>
      <vt:lpstr>QA  TQS</vt:lpstr>
      <vt:lpstr>Sheet4</vt:lpstr>
      <vt:lpstr>รุ่งโรจน์ </vt:lpstr>
      <vt:lpstr>Sheet2</vt:lpstr>
      <vt:lpstr>Sheet3</vt:lpstr>
      <vt:lpstr>Truck Driver</vt:lpstr>
      <vt:lpstr>'Operation '!Print_Area</vt:lpstr>
      <vt:lpstr>'QA  TQS'!Print_Area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Somrot Choksawut</cp:lastModifiedBy>
  <cp:lastPrinted>2026-05-05T09:51:49Z</cp:lastPrinted>
  <dcterms:created xsi:type="dcterms:W3CDTF">2017-12-12T08:42:03Z</dcterms:created>
  <dcterms:modified xsi:type="dcterms:W3CDTF">2026-08-20T01:17:34Z</dcterms:modified>
</cp:coreProperties>
</file>